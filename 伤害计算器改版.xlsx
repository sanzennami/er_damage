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iroya\Desktop\"/>
    </mc:Choice>
  </mc:AlternateContent>
  <xr:revisionPtr revIDLastSave="0" documentId="13_ncr:1_{5C962344-6618-45C2-824D-BDD2CDE9C7EF}" xr6:coauthVersionLast="47" xr6:coauthVersionMax="47" xr10:uidLastSave="{00000000-0000-0000-0000-000000000000}"/>
  <bookViews>
    <workbookView xWindow="4755" yWindow="1590" windowWidth="22725" windowHeight="13245" xr2:uid="{00000000-000D-0000-FFFF-FFFF00000000}"/>
  </bookViews>
  <sheets>
    <sheet name="伤害计算器" sheetId="1" r:id="rId1"/>
    <sheet name="装备属性计算器" sheetId="8" r:id="rId2"/>
    <sheet name="装备表" sheetId="2" r:id="rId3"/>
    <sheet name="动态备表" sheetId="6" r:id="rId4"/>
    <sheet name="移速" sheetId="3" r:id="rId5"/>
    <sheet name="熟练度级别法强加成表" sheetId="4" r:id="rId6"/>
    <sheet name="备注" sheetId="7" r:id="rId7"/>
  </sheets>
  <definedNames>
    <definedName name="手部装备名">_xlfn.ANCHORARRAY(动态备表!$D$2)</definedName>
    <definedName name="头部装备名">_xlfn.ANCHORARRAY(动态备表!$C$2)</definedName>
    <definedName name="武器装备名">_xlfn.ANCHORARRAY(动态备表!$A$2)</definedName>
    <definedName name="鞋子装备名">_xlfn.ANCHORARRAY(动态备表!$E$2)</definedName>
    <definedName name="衣服装备名">_xlfn.ANCHORARRAY(动态备表!$B$2)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 l="1"/>
  <c r="C27" i="1"/>
  <c r="G13" i="8"/>
  <c r="O9" i="8"/>
  <c r="J19" i="1"/>
  <c r="B5" i="1"/>
  <c r="E5" i="1"/>
  <c r="C12" i="8" a="1"/>
  <c r="C12" i="8" s="1"/>
  <c r="C11" i="8" a="1"/>
  <c r="C11" i="8" s="1"/>
  <c r="Q18" i="2" a="1"/>
  <c r="Q18" i="2" s="1"/>
  <c r="Q17" i="2" a="1"/>
  <c r="Q17" i="2" s="1"/>
  <c r="U19" i="2"/>
  <c r="U18" i="2" a="1"/>
  <c r="U18" i="2" s="1"/>
  <c r="U17" i="2"/>
  <c r="U16" i="2" a="1"/>
  <c r="U16" i="2" s="1"/>
  <c r="Q16" i="2" a="1"/>
  <c r="Q16" i="2" s="1"/>
  <c r="R9" i="2" a="1"/>
  <c r="R9" i="2" s="1"/>
  <c r="G12" i="8" a="1"/>
  <c r="G12" i="8" s="1"/>
  <c r="G11" i="8"/>
  <c r="G10" i="8" a="1"/>
  <c r="G10" i="8" s="1"/>
  <c r="C10" i="8" a="1"/>
  <c r="C10" i="8" s="1"/>
  <c r="D3" i="8" a="1"/>
  <c r="D3" i="8" s="1"/>
  <c r="G89" i="1"/>
  <c r="D10" i="1"/>
  <c r="C10" i="1"/>
  <c r="G1" i="6" a="1"/>
  <c r="G1" i="6" s="1"/>
  <c r="E2" i="6" a="1"/>
  <c r="E2" i="6" s="1"/>
  <c r="A2" i="6" a="1"/>
  <c r="A2" i="6" s="1"/>
  <c r="B2" i="6" a="1"/>
  <c r="B2" i="6" s="1"/>
  <c r="C2" i="6" a="1"/>
  <c r="C2" i="6" s="1"/>
  <c r="D2" i="6" a="1"/>
  <c r="D2" i="6" s="1"/>
  <c r="G30" i="1" l="1"/>
  <c r="G29" i="1"/>
  <c r="G28" i="1"/>
  <c r="G27" i="1"/>
  <c r="D27" i="1"/>
  <c r="D28" i="1"/>
  <c r="B27" i="1"/>
  <c r="B28" i="1"/>
  <c r="E27" i="1"/>
  <c r="U20" i="2"/>
  <c r="U21" i="2" s="1"/>
  <c r="Q15" i="2" s="1"/>
  <c r="G14" i="8"/>
  <c r="G15" i="8" s="1"/>
  <c r="C9" i="8" s="1"/>
  <c r="J15" i="1"/>
  <c r="J13" i="1"/>
  <c r="O22" i="1"/>
  <c r="F8" i="1"/>
  <c r="O24" i="1"/>
  <c r="F32" i="1" l="1"/>
  <c r="D33" i="1"/>
  <c r="B33" i="1"/>
  <c r="G33" i="1"/>
  <c r="E32" i="1"/>
  <c r="D32" i="1"/>
  <c r="G34" i="1"/>
  <c r="B32" i="1"/>
  <c r="C32" i="1"/>
  <c r="G32" i="1"/>
  <c r="G35" i="1"/>
  <c r="O26" i="1"/>
  <c r="K15" i="1" l="1"/>
  <c r="K13" i="1"/>
  <c r="G78" i="1"/>
  <c r="G82" i="1" s="1"/>
  <c r="H77" i="1"/>
  <c r="I77" i="1" s="1"/>
  <c r="C80" i="1"/>
  <c r="C82" i="1" s="1"/>
  <c r="C83" i="1" s="1"/>
  <c r="F80" i="1"/>
  <c r="F82" i="1" s="1"/>
  <c r="M22" i="4"/>
  <c r="L17" i="1" s="1"/>
  <c r="H76" i="1"/>
  <c r="I76" i="1" s="1"/>
  <c r="E80" i="1"/>
  <c r="E82" i="1" s="1"/>
  <c r="H78" i="1"/>
  <c r="H82" i="1" s="1"/>
  <c r="J11" i="1"/>
  <c r="K11" i="1" s="1"/>
  <c r="L11" i="1" s="1"/>
  <c r="B80" i="1"/>
  <c r="B82" i="1" s="1"/>
  <c r="B83" i="1" s="1"/>
  <c r="M3" i="4"/>
  <c r="M4" i="4"/>
  <c r="M15" i="4"/>
  <c r="E78" i="1"/>
  <c r="M5" i="4"/>
  <c r="B79" i="1"/>
  <c r="C77" i="1"/>
  <c r="M20" i="4"/>
  <c r="M11" i="4"/>
  <c r="M10" i="4"/>
  <c r="C76" i="1"/>
  <c r="M17" i="4"/>
  <c r="K2" i="1"/>
  <c r="G77" i="1"/>
  <c r="F79" i="1"/>
  <c r="F77" i="1"/>
  <c r="C78" i="1"/>
  <c r="G76" i="1"/>
  <c r="E79" i="1"/>
  <c r="D77" i="1"/>
  <c r="F76" i="1"/>
  <c r="D76" i="1"/>
  <c r="B77" i="1"/>
  <c r="F78" i="1"/>
  <c r="M7" i="4"/>
  <c r="B76" i="1"/>
  <c r="M14" i="4"/>
  <c r="D79" i="1"/>
  <c r="M12" i="4"/>
  <c r="M8" i="4"/>
  <c r="J9" i="1"/>
  <c r="M19" i="4"/>
  <c r="B78" i="1"/>
  <c r="K3" i="1"/>
  <c r="M13" i="4"/>
  <c r="M18" i="4"/>
  <c r="E76" i="1"/>
  <c r="E77" i="1"/>
  <c r="M16" i="4"/>
  <c r="M6" i="4"/>
  <c r="M9" i="4"/>
  <c r="D78" i="1"/>
  <c r="M21" i="4"/>
  <c r="C79" i="1"/>
  <c r="D80" i="1"/>
  <c r="D82" i="1" s="1"/>
  <c r="E88" i="1" l="1"/>
  <c r="I88" i="1"/>
  <c r="J88" i="1" s="1"/>
  <c r="K88" i="1" s="1"/>
  <c r="L88" i="1" s="1"/>
  <c r="I78" i="1"/>
  <c r="I82" i="1" s="1"/>
  <c r="F88" i="1"/>
  <c r="J17" i="1"/>
  <c r="D60" i="1"/>
  <c r="B84" i="1"/>
  <c r="B90" i="1"/>
  <c r="B91" i="1" s="1"/>
  <c r="D62" i="1" l="1"/>
  <c r="G8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池千</author>
  </authors>
  <commentList>
    <comment ref="A2" authorId="0" shapeId="0" xr:uid="{AF35D233-A0FA-4E4A-B655-C04BC3BC782F}">
      <text>
        <r>
          <rPr>
            <b/>
            <sz val="9"/>
            <color indexed="81"/>
            <rFont val="宋体"/>
            <family val="3"/>
            <charset val="134"/>
          </rPr>
          <t>因为是AP计算器所以这个没有用只是写了</t>
        </r>
      </text>
    </comment>
    <comment ref="E2" authorId="0" shapeId="0" xr:uid="{463E2FDB-E361-4720-9E44-7B9112519D47}">
      <text>
        <r>
          <rPr>
            <b/>
            <sz val="9"/>
            <color indexed="81"/>
            <rFont val="宋体"/>
            <family val="3"/>
            <charset val="134"/>
          </rPr>
          <t>池千:</t>
        </r>
        <r>
          <rPr>
            <sz val="9"/>
            <color indexed="81"/>
            <rFont val="宋体"/>
            <family val="3"/>
            <charset val="134"/>
          </rPr>
          <t xml:space="preserve">
有什么技伤最终加成的装备自己填一下
光辉头那些</t>
        </r>
      </text>
    </comment>
    <comment ref="D7" authorId="0" shapeId="0" xr:uid="{0C7785DB-9E8A-43BE-8DD6-E60FA6ECA518}">
      <text>
        <r>
          <rPr>
            <sz val="9"/>
            <color indexed="81"/>
            <rFont val="宋体"/>
            <family val="3"/>
            <charset val="134"/>
          </rPr>
          <t>龙首簪那种每层4%</t>
        </r>
      </text>
    </comment>
    <comment ref="E7" authorId="0" shapeId="0" xr:uid="{28024124-F66F-4E50-BAD9-A5DFE9844CB3}">
      <text>
        <r>
          <rPr>
            <sz val="9"/>
            <color indexed="81"/>
            <rFont val="宋体"/>
            <family val="3"/>
            <charset val="134"/>
          </rPr>
          <t>20级的时候角色自带16%技能伤害减免，你游全是等差数列，每级防御熟练度给0.8%；和装备/效果的伤害减免一般是加算</t>
        </r>
      </text>
    </comment>
    <comment ref="F7" authorId="0" shapeId="0" xr:uid="{508FFEA2-5C91-427E-B70E-53AA8403DCE7}">
      <text>
        <r>
          <rPr>
            <sz val="9"/>
            <color indexed="81"/>
            <rFont val="宋体"/>
            <family val="3"/>
            <charset val="134"/>
          </rPr>
          <t>这个是用来算俞岷R的10%生命上限真伤能加算多少的</t>
        </r>
      </text>
    </comment>
    <comment ref="C9" authorId="0" shapeId="0" xr:uid="{A68ACA90-C8B5-40BE-9113-4FF5E4AE042D}">
      <text>
        <r>
          <rPr>
            <b/>
            <sz val="9"/>
            <color indexed="81"/>
            <rFont val="宋体"/>
            <family val="3"/>
            <charset val="134"/>
          </rPr>
          <t>池千:</t>
        </r>
        <r>
          <rPr>
            <sz val="9"/>
            <color indexed="81"/>
            <rFont val="宋体"/>
            <family val="3"/>
            <charset val="134"/>
          </rPr>
          <t xml:space="preserve">
上限40%咯，爆发力写里面的，没空把这个整合到天赋里</t>
        </r>
      </text>
    </comment>
    <comment ref="L16" authorId="0" shapeId="0" xr:uid="{EBD965D2-F749-40B4-9B5D-519169ED90D0}">
      <text>
        <r>
          <rPr>
            <sz val="9"/>
            <color indexed="81"/>
            <rFont val="宋体"/>
            <family val="3"/>
            <charset val="134"/>
          </rPr>
          <t>按20级鬼火算</t>
        </r>
      </text>
    </comment>
    <comment ref="B27" authorId="0" shapeId="0" xr:uid="{E47487E8-A50D-487B-AA24-B51F9E20E4C7}">
      <text>
        <r>
          <rPr>
            <b/>
            <sz val="9"/>
            <color indexed="81"/>
            <rFont val="宋体"/>
            <family val="3"/>
            <charset val="134"/>
          </rPr>
          <t xml:space="preserve">第一次
</t>
        </r>
      </text>
    </comment>
    <comment ref="C27" authorId="0" shapeId="0" xr:uid="{84B92FF7-A73B-471E-BAA8-CCA670403DA2}">
      <text>
        <r>
          <rPr>
            <b/>
            <sz val="9"/>
            <color indexed="81"/>
            <rFont val="宋体"/>
            <family val="3"/>
            <charset val="134"/>
          </rPr>
          <t>池千:</t>
        </r>
        <r>
          <rPr>
            <sz val="9"/>
            <color indexed="81"/>
            <rFont val="宋体"/>
            <family val="3"/>
            <charset val="134"/>
          </rPr>
          <t xml:space="preserve">
160+0.5*技能增幅+目标体力上限10%
盾另说</t>
        </r>
      </text>
    </comment>
    <comment ref="B28" authorId="0" shapeId="0" xr:uid="{48A43459-8891-42A1-8DE4-C17A7BDABFE9}">
      <text>
        <r>
          <rPr>
            <b/>
            <sz val="9"/>
            <color indexed="81"/>
            <rFont val="宋体"/>
            <family val="3"/>
            <charset val="134"/>
          </rPr>
          <t>第二次及往后
技能描述内个</t>
        </r>
      </text>
    </comment>
    <comment ref="D28" authorId="0" shapeId="0" xr:uid="{52E5DB43-8454-4395-8760-9EA7EBBD363B}">
      <text>
        <r>
          <rPr>
            <b/>
            <sz val="9"/>
            <color indexed="81"/>
            <rFont val="宋体"/>
            <family val="3"/>
            <charset val="134"/>
          </rPr>
          <t>2s以上时</t>
        </r>
      </text>
    </comment>
    <comment ref="A75" authorId="0" shapeId="0" xr:uid="{2748EA87-CE99-4237-9165-BC134F3437F0}">
      <text>
        <r>
          <rPr>
            <sz val="9"/>
            <color indexed="81"/>
            <rFont val="宋体"/>
            <family val="3"/>
            <charset val="134"/>
          </rPr>
          <t>此表为技能原始伤害值，未经过任何防御修正，也就是敌人0防御0减伤的情况下的理论值</t>
        </r>
      </text>
    </comment>
    <comment ref="A82" authorId="0" shapeId="0" xr:uid="{EA7FEA85-4C74-40E2-9134-26419EA6E096}">
      <text>
        <r>
          <rPr>
            <sz val="9"/>
            <color indexed="81"/>
            <rFont val="宋体"/>
            <family val="3"/>
            <charset val="134"/>
          </rPr>
          <t>乘算了伤害最终修正值之后的数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池千</author>
  </authors>
  <commentList>
    <comment ref="I1" authorId="0" shapeId="0" xr:uid="{DA9FCA75-0F2C-4417-B3D6-077BCD6D1967}">
      <text>
        <r>
          <rPr>
            <b/>
            <sz val="9"/>
            <color indexed="81"/>
            <rFont val="宋体"/>
            <family val="3"/>
            <charset val="134"/>
          </rPr>
          <t>池千:</t>
        </r>
        <r>
          <rPr>
            <sz val="9"/>
            <color indexed="81"/>
            <rFont val="宋体"/>
            <family val="3"/>
            <charset val="134"/>
          </rPr>
          <t xml:space="preserve">
使用小数</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<sst xmlns="http://schemas.openxmlformats.org/spreadsheetml/2006/main" count="590" uniqueCount="339">
  <si>
    <t>法强</t>
    <phoneticPr fontId="1" type="noConversion"/>
  </si>
  <si>
    <t>防穿数值</t>
    <phoneticPr fontId="1" type="noConversion"/>
  </si>
  <si>
    <t>防穿百分比</t>
    <phoneticPr fontId="1" type="noConversion"/>
  </si>
  <si>
    <t>面板数值</t>
    <phoneticPr fontId="1" type="noConversion"/>
  </si>
  <si>
    <t>鬼火</t>
    <phoneticPr fontId="1" type="noConversion"/>
  </si>
  <si>
    <t>等级</t>
    <phoneticPr fontId="1" type="noConversion"/>
  </si>
  <si>
    <t>60~250</t>
    <phoneticPr fontId="1" type="noConversion"/>
  </si>
  <si>
    <t>结算</t>
    <phoneticPr fontId="1" type="noConversion"/>
  </si>
  <si>
    <t>1级</t>
    <phoneticPr fontId="1" type="noConversion"/>
  </si>
  <si>
    <t>2级</t>
    <phoneticPr fontId="1" type="noConversion"/>
  </si>
  <si>
    <t>W</t>
    <phoneticPr fontId="1" type="noConversion"/>
  </si>
  <si>
    <t>E</t>
    <phoneticPr fontId="1" type="noConversion"/>
  </si>
  <si>
    <t>EW</t>
    <phoneticPr fontId="1" type="noConversion"/>
  </si>
  <si>
    <t>3级</t>
  </si>
  <si>
    <t>4级</t>
  </si>
  <si>
    <t>5级</t>
  </si>
  <si>
    <t>基础伤害</t>
    <phoneticPr fontId="1" type="noConversion"/>
  </si>
  <si>
    <t>加算法强</t>
    <phoneticPr fontId="1" type="noConversion"/>
  </si>
  <si>
    <t>EQ(每跳</t>
    <phoneticPr fontId="1" type="noConversion"/>
  </si>
  <si>
    <t>所有数值向下取整</t>
    <phoneticPr fontId="1" type="noConversion"/>
  </si>
  <si>
    <t>R1段</t>
    <phoneticPr fontId="1" type="noConversion"/>
  </si>
  <si>
    <t>R2段</t>
    <phoneticPr fontId="1" type="noConversion"/>
  </si>
  <si>
    <t>+10%最大体力</t>
    <phoneticPr fontId="1" type="noConversion"/>
  </si>
  <si>
    <t>敌人面板</t>
    <phoneticPr fontId="1" type="noConversion"/>
  </si>
  <si>
    <t>血量</t>
    <phoneticPr fontId="1" type="noConversion"/>
  </si>
  <si>
    <t>攻击力</t>
    <phoneticPr fontId="1" type="noConversion"/>
  </si>
  <si>
    <t>伤害减免</t>
    <phoneticPr fontId="1" type="noConversion"/>
  </si>
  <si>
    <t>伤害提升</t>
    <phoneticPr fontId="1" type="noConversion"/>
  </si>
  <si>
    <t>有效防御</t>
    <phoneticPr fontId="1" type="noConversion"/>
  </si>
  <si>
    <t>最终防御</t>
    <phoneticPr fontId="1" type="noConversion"/>
  </si>
  <si>
    <t>增减伤</t>
    <phoneticPr fontId="1" type="noConversion"/>
  </si>
  <si>
    <t>防御修正</t>
    <phoneticPr fontId="1" type="noConversion"/>
  </si>
  <si>
    <t>Q(每跳</t>
    <phoneticPr fontId="1" type="noConversion"/>
  </si>
  <si>
    <t>最终伤害</t>
    <phoneticPr fontId="1" type="noConversion"/>
  </si>
  <si>
    <t>1+E3-E7</t>
    <phoneticPr fontId="1" type="noConversion"/>
  </si>
  <si>
    <t>Q每跳</t>
    <phoneticPr fontId="1" type="noConversion"/>
  </si>
  <si>
    <t>腐化(技)</t>
    <phoneticPr fontId="1" type="noConversion"/>
  </si>
  <si>
    <t>诅咒(真)</t>
    <phoneticPr fontId="1" type="noConversion"/>
  </si>
  <si>
    <t>计算减免</t>
    <phoneticPr fontId="1" type="noConversion"/>
  </si>
  <si>
    <t>共3跳</t>
    <phoneticPr fontId="1" type="noConversion"/>
  </si>
  <si>
    <t>4s后触发</t>
    <phoneticPr fontId="1" type="noConversion"/>
  </si>
  <si>
    <t>100/(100+C7*(1-D7)*(1-D3)-C3)</t>
    <phoneticPr fontId="1" type="noConversion"/>
  </si>
  <si>
    <t>用小数点</t>
    <phoneticPr fontId="1" type="noConversion"/>
  </si>
  <si>
    <t>eqqw</t>
    <phoneticPr fontId="1" type="noConversion"/>
  </si>
  <si>
    <t>龙鳞</t>
    <phoneticPr fontId="1" type="noConversion"/>
  </si>
  <si>
    <t>伤痕(技)</t>
    <phoneticPr fontId="1" type="noConversion"/>
  </si>
  <si>
    <t>伤口撕裂</t>
    <phoneticPr fontId="1" type="noConversion"/>
  </si>
  <si>
    <t>以触发时70%血计</t>
    <phoneticPr fontId="1" type="noConversion"/>
  </si>
  <si>
    <t>特效小计</t>
    <phoneticPr fontId="1" type="noConversion"/>
  </si>
  <si>
    <t>+</t>
    <phoneticPr fontId="1" type="noConversion"/>
  </si>
  <si>
    <t>武器</t>
    <phoneticPr fontId="1" type="noConversion"/>
  </si>
  <si>
    <t>衣服</t>
    <phoneticPr fontId="1" type="noConversion"/>
  </si>
  <si>
    <t>名称</t>
    <phoneticPr fontId="1" type="noConversion"/>
  </si>
  <si>
    <t>CD</t>
    <phoneticPr fontId="1" type="noConversion"/>
  </si>
  <si>
    <t>装备类型</t>
    <phoneticPr fontId="1" type="noConversion"/>
  </si>
  <si>
    <t>防御力</t>
    <phoneticPr fontId="1" type="noConversion"/>
  </si>
  <si>
    <t>防穿%</t>
    <phoneticPr fontId="1" type="noConversion"/>
  </si>
  <si>
    <t>法强%</t>
    <phoneticPr fontId="1" type="noConversion"/>
  </si>
  <si>
    <t>防穿</t>
    <phoneticPr fontId="1" type="noConversion"/>
  </si>
  <si>
    <t>独有伤害增幅</t>
    <phoneticPr fontId="1" type="noConversion"/>
  </si>
  <si>
    <t>月水晶</t>
    <phoneticPr fontId="1" type="noConversion"/>
  </si>
  <si>
    <t>女帝</t>
    <phoneticPr fontId="1" type="noConversion"/>
  </si>
  <si>
    <t>备注</t>
    <phoneticPr fontId="1" type="noConversion"/>
  </si>
  <si>
    <t>隐遁者</t>
    <phoneticPr fontId="1" type="noConversion"/>
  </si>
  <si>
    <t>诅咒</t>
    <phoneticPr fontId="1" type="noConversion"/>
  </si>
  <si>
    <t>寒波</t>
    <phoneticPr fontId="1" type="noConversion"/>
  </si>
  <si>
    <t>特效</t>
    <phoneticPr fontId="1" type="noConversion"/>
  </si>
  <si>
    <t>五芒星</t>
    <phoneticPr fontId="1" type="noConversion"/>
  </si>
  <si>
    <t>命运之轮</t>
    <phoneticPr fontId="1" type="noConversion"/>
  </si>
  <si>
    <t>减疗</t>
    <phoneticPr fontId="1" type="noConversion"/>
  </si>
  <si>
    <t>炼狱</t>
    <phoneticPr fontId="1" type="noConversion"/>
  </si>
  <si>
    <t>吸血6%</t>
    <phoneticPr fontId="1" type="noConversion"/>
  </si>
  <si>
    <t>炼狱绯红</t>
    <phoneticPr fontId="1" type="noConversion"/>
  </si>
  <si>
    <t>炼狱晓色</t>
    <phoneticPr fontId="1" type="noConversion"/>
  </si>
  <si>
    <t>私人订制</t>
    <phoneticPr fontId="1" type="noConversion"/>
  </si>
  <si>
    <t>炽燃</t>
    <phoneticPr fontId="1" type="noConversion"/>
  </si>
  <si>
    <t>神职法衣</t>
    <phoneticPr fontId="1" type="noConversion"/>
  </si>
  <si>
    <t>优雅礼服</t>
    <phoneticPr fontId="1" type="noConversion"/>
  </si>
  <si>
    <t>凝聚</t>
    <phoneticPr fontId="1" type="noConversion"/>
  </si>
  <si>
    <t>血色斗篷</t>
    <phoneticPr fontId="1" type="noConversion"/>
  </si>
  <si>
    <t>腐化</t>
    <phoneticPr fontId="1" type="noConversion"/>
  </si>
  <si>
    <t>日轮之铠</t>
    <phoneticPr fontId="1" type="noConversion"/>
  </si>
  <si>
    <t>异端审判官</t>
    <phoneticPr fontId="1" type="noConversion"/>
  </si>
  <si>
    <t>刽子手</t>
    <phoneticPr fontId="1" type="noConversion"/>
  </si>
  <si>
    <t>比基尼</t>
    <phoneticPr fontId="1" type="noConversion"/>
  </si>
  <si>
    <t>红心女王</t>
    <phoneticPr fontId="1" type="noConversion"/>
  </si>
  <si>
    <t>凝聚,减疗</t>
    <phoneticPr fontId="1" type="noConversion"/>
  </si>
  <si>
    <t>指挥官战甲</t>
    <phoneticPr fontId="1" type="noConversion"/>
  </si>
  <si>
    <t>御史衣</t>
    <phoneticPr fontId="1" type="noConversion"/>
  </si>
  <si>
    <t>大祭司长袍</t>
    <phoneticPr fontId="1" type="noConversion"/>
  </si>
  <si>
    <t>白大褂</t>
    <phoneticPr fontId="1" type="noConversion"/>
  </si>
  <si>
    <t>主教长袍</t>
    <phoneticPr fontId="1" type="noConversion"/>
  </si>
  <si>
    <t>幽冥战甲</t>
    <phoneticPr fontId="1" type="noConversion"/>
  </si>
  <si>
    <t>疾风</t>
    <phoneticPr fontId="1" type="noConversion"/>
  </si>
  <si>
    <t>头部</t>
    <phoneticPr fontId="1" type="noConversion"/>
  </si>
  <si>
    <t>幽灵面具</t>
    <phoneticPr fontId="1" type="noConversion"/>
  </si>
  <si>
    <t>先知头巾</t>
    <phoneticPr fontId="1" type="noConversion"/>
  </si>
  <si>
    <t>太空头盔</t>
    <phoneticPr fontId="1" type="noConversion"/>
  </si>
  <si>
    <t>EnGrade</t>
    <phoneticPr fontId="1" type="noConversion"/>
  </si>
  <si>
    <t>暗影面纱</t>
    <phoneticPr fontId="1" type="noConversion"/>
  </si>
  <si>
    <t>光辉</t>
    <phoneticPr fontId="1" type="noConversion"/>
  </si>
  <si>
    <t>昆德拉</t>
    <phoneticPr fontId="1" type="noConversion"/>
  </si>
  <si>
    <t>龙首簪</t>
    <phoneticPr fontId="1" type="noConversion"/>
  </si>
  <si>
    <t>粉碎</t>
    <phoneticPr fontId="1" type="noConversion"/>
  </si>
  <si>
    <t>脸谱</t>
    <phoneticPr fontId="1" type="noConversion"/>
  </si>
  <si>
    <t>赛车头盔</t>
    <phoneticPr fontId="1" type="noConversion"/>
  </si>
  <si>
    <t>光子发射器</t>
    <phoneticPr fontId="1" type="noConversion"/>
  </si>
  <si>
    <t>魔女帽</t>
    <phoneticPr fontId="1" type="noConversion"/>
  </si>
  <si>
    <t>战队头盔</t>
    <phoneticPr fontId="1" type="noConversion"/>
  </si>
  <si>
    <t>帝国战盔</t>
    <phoneticPr fontId="1" type="noConversion"/>
  </si>
  <si>
    <t>帝国皇冠</t>
    <phoneticPr fontId="1" type="noConversion"/>
  </si>
  <si>
    <t>施工中 我实在懒得再做一次下拉选框公式</t>
    <phoneticPr fontId="1" type="noConversion"/>
  </si>
  <si>
    <t>还不如直接进游戏穿上看看最终数值‘</t>
    <phoneticPr fontId="1" type="noConversion"/>
  </si>
  <si>
    <t>C7*(1-D3)</t>
    <phoneticPr fontId="1" type="noConversion"/>
  </si>
  <si>
    <t>C7*(1-D7)*(1-D3)-C3</t>
    <phoneticPr fontId="1" type="noConversion"/>
  </si>
  <si>
    <t>目标防御*(1-防穿百分比)</t>
    <phoneticPr fontId="1" type="noConversion"/>
  </si>
  <si>
    <t>目标防御*(1-防穿百分比)*目标防御降低百分比-防穿数值</t>
    <phoneticPr fontId="1" type="noConversion"/>
  </si>
  <si>
    <t>【目标防御降低百分比=龙首簪那种特效】</t>
    <phoneticPr fontId="1" type="noConversion"/>
  </si>
  <si>
    <t>【防穿数值=剑齿虎那种；防穿百分比=龙鳞那种，不同】</t>
    <phoneticPr fontId="1" type="noConversion"/>
  </si>
  <si>
    <t>100/(100+最终防御)</t>
    <phoneticPr fontId="1" type="noConversion"/>
  </si>
  <si>
    <t>1+(自身伤害提升-目标伤害减免)</t>
    <phoneticPr fontId="1" type="noConversion"/>
  </si>
  <si>
    <t>【自身伤害提升=光辉头or炽燃等；目标伤害减免=防御熟练度、天赋等】</t>
    <phoneticPr fontId="1" type="noConversion"/>
  </si>
  <si>
    <t>最终伤害修正值</t>
    <phoneticPr fontId="1" type="noConversion"/>
  </si>
  <si>
    <t>防御修正*增减伤</t>
    <phoneticPr fontId="1" type="noConversion"/>
  </si>
  <si>
    <t>防御修正值</t>
    <phoneticPr fontId="1" type="noConversion"/>
  </si>
  <si>
    <t>技能伤害*最终伤害修正值</t>
    <phoneticPr fontId="1" type="noConversion"/>
  </si>
  <si>
    <t>赛车服</t>
    <phoneticPr fontId="1" type="noConversion"/>
  </si>
  <si>
    <t>炽燃头</t>
    <phoneticPr fontId="1" type="noConversion"/>
  </si>
  <si>
    <t>红鞋0.27</t>
    <phoneticPr fontId="1" type="noConversion"/>
  </si>
  <si>
    <t>金鞋0.25</t>
    <phoneticPr fontId="1" type="noConversion"/>
  </si>
  <si>
    <t>（20级熟+等离子0.1</t>
    <phoneticPr fontId="1" type="noConversion"/>
  </si>
  <si>
    <t>炽燃衣</t>
    <phoneticPr fontId="1" type="noConversion"/>
  </si>
  <si>
    <t>翡翠石板</t>
    <phoneticPr fontId="1" type="noConversion"/>
  </si>
  <si>
    <t>3s</t>
    <phoneticPr fontId="1" type="noConversion"/>
  </si>
  <si>
    <t>1.5%*8=12%</t>
    <phoneticPr fontId="1" type="noConversion"/>
  </si>
  <si>
    <t>底数据</t>
    <phoneticPr fontId="1" type="noConversion"/>
  </si>
  <si>
    <t>常驻4.21</t>
    <phoneticPr fontId="1" type="noConversion"/>
  </si>
  <si>
    <t>触发5.95</t>
    <phoneticPr fontId="1" type="noConversion"/>
  </si>
  <si>
    <t>/</t>
    <phoneticPr fontId="1" type="noConversion"/>
  </si>
  <si>
    <t>触发6.09</t>
    <phoneticPr fontId="1" type="noConversion"/>
  </si>
  <si>
    <t>常驻4.09</t>
    <phoneticPr fontId="1" type="noConversion"/>
  </si>
  <si>
    <t>触发6.07</t>
    <phoneticPr fontId="1" type="noConversion"/>
  </si>
  <si>
    <t>4.07/6.01</t>
    <phoneticPr fontId="1" type="noConversion"/>
  </si>
  <si>
    <t>4.21/5.95</t>
    <phoneticPr fontId="1" type="noConversion"/>
  </si>
  <si>
    <t>4.09/6.15</t>
    <phoneticPr fontId="1" type="noConversion"/>
  </si>
  <si>
    <t>4.21/6.09</t>
    <phoneticPr fontId="1" type="noConversion"/>
  </si>
  <si>
    <t>4.09/6.07</t>
    <phoneticPr fontId="1" type="noConversion"/>
  </si>
  <si>
    <t>4.09/5.93</t>
    <phoneticPr fontId="1" type="noConversion"/>
  </si>
  <si>
    <t>4.21/5.81</t>
    <phoneticPr fontId="1" type="noConversion"/>
  </si>
  <si>
    <t>4.07/5.93</t>
    <phoneticPr fontId="1" type="noConversion"/>
  </si>
  <si>
    <t>4.07/5.79</t>
    <phoneticPr fontId="1" type="noConversion"/>
  </si>
  <si>
    <t>4.09+5%</t>
    <phoneticPr fontId="1" type="noConversion"/>
  </si>
  <si>
    <t>精灵之靴+5%</t>
    <phoneticPr fontId="1" type="noConversion"/>
  </si>
  <si>
    <t>常驻/全特效触发(2级闪+风圈10%)</t>
    <phoneticPr fontId="1" type="noConversion"/>
  </si>
  <si>
    <t>俞岷 20熟练度+等离子提升0.1+石板30%</t>
    <phoneticPr fontId="1" type="noConversion"/>
  </si>
  <si>
    <t>圣器20级技能增幅80%，每等级+4%</t>
    <phoneticPr fontId="1" type="noConversion"/>
  </si>
  <si>
    <t>949/1051</t>
    <phoneticPr fontId="1" type="noConversion"/>
  </si>
  <si>
    <t>815/905</t>
    <phoneticPr fontId="1" type="noConversion"/>
  </si>
  <si>
    <t>火衣</t>
    <phoneticPr fontId="1" type="noConversion"/>
  </si>
  <si>
    <t>906/1008</t>
    <phoneticPr fontId="1" type="noConversion"/>
  </si>
  <si>
    <t>786/876</t>
    <phoneticPr fontId="1" type="noConversion"/>
  </si>
  <si>
    <t>861/958</t>
    <phoneticPr fontId="1" type="noConversion"/>
  </si>
  <si>
    <t>15%增伤</t>
    <phoneticPr fontId="1" type="noConversion"/>
  </si>
  <si>
    <t>守护之眼</t>
    <phoneticPr fontId="1" type="noConversion"/>
  </si>
  <si>
    <t>922/1024</t>
    <phoneticPr fontId="1" type="noConversion"/>
  </si>
  <si>
    <t>902/1004</t>
    <phoneticPr fontId="1" type="noConversion"/>
  </si>
  <si>
    <t>炽燃头增幅75</t>
    <phoneticPr fontId="1" type="noConversion"/>
  </si>
  <si>
    <t>龙首簪/太空头55</t>
    <phoneticPr fontId="1" type="noConversion"/>
  </si>
  <si>
    <t>面纱/昆德拉/面具增幅都是80，CD区别/特效区别</t>
    <phoneticPr fontId="1" type="noConversion"/>
  </si>
  <si>
    <t>同→</t>
    <phoneticPr fontId="1" type="noConversion"/>
  </si>
  <si>
    <t>792/882</t>
    <phoneticPr fontId="1" type="noConversion"/>
  </si>
  <si>
    <t>795/885</t>
    <phoneticPr fontId="1" type="noConversion"/>
  </si>
  <si>
    <t>912/1014</t>
    <phoneticPr fontId="1" type="noConversion"/>
  </si>
  <si>
    <t>801/891</t>
    <phoneticPr fontId="1" type="noConversion"/>
  </si>
  <si>
    <t>877/974</t>
    <phoneticPr fontId="1" type="noConversion"/>
  </si>
  <si>
    <t>优雅礼服20，火衣22，私人订制25，法衣30，最后额外根据等级+100</t>
    <phoneticPr fontId="1" type="noConversion"/>
  </si>
  <si>
    <t>25%法强</t>
    <phoneticPr fontId="1" type="noConversion"/>
  </si>
  <si>
    <t>常驻/吸血鬼+叠层满层</t>
    <phoneticPr fontId="1" type="noConversion"/>
  </si>
  <si>
    <t>ps.炽燃重复优先级头&gt;衣</t>
    <phoneticPr fontId="1" type="noConversion"/>
  </si>
  <si>
    <t>腐化百分比是向上取整的值</t>
    <phoneticPr fontId="1" type="noConversion"/>
  </si>
  <si>
    <t>血</t>
    <phoneticPr fontId="1" type="noConversion"/>
  </si>
  <si>
    <t>防</t>
    <phoneticPr fontId="1" type="noConversion"/>
  </si>
  <si>
    <t>钓鱼6级</t>
    <phoneticPr fontId="1" type="noConversion"/>
  </si>
  <si>
    <t>钓鱼15级单魔兔帽</t>
    <phoneticPr fontId="1" type="noConversion"/>
  </si>
  <si>
    <t>15级武器衣服头</t>
    <phoneticPr fontId="1" type="noConversion"/>
  </si>
  <si>
    <t>20级全装</t>
    <phoneticPr fontId="1" type="noConversion"/>
  </si>
  <si>
    <t>20级全装无惧感</t>
    <phoneticPr fontId="1" type="noConversion"/>
  </si>
  <si>
    <t>EQQW全中</t>
    <phoneticPr fontId="1" type="noConversion"/>
  </si>
  <si>
    <t>鬼火(真伤)</t>
    <phoneticPr fontId="1" type="noConversion"/>
  </si>
  <si>
    <t>计算过程</t>
    <phoneticPr fontId="1" type="noConversion"/>
  </si>
  <si>
    <t>伤害减免：20熟时默认有16%技能伤害减免，与其他减伤是加算，与伤害提升也是加算</t>
    <phoneticPr fontId="1" type="noConversion"/>
  </si>
  <si>
    <t>伤害计算公式</t>
    <phoneticPr fontId="1" type="noConversion"/>
  </si>
  <si>
    <t>增减伤合算</t>
    <phoneticPr fontId="1" type="noConversion"/>
  </si>
  <si>
    <t>直接使用下表中5级技能的伤害*理论最终修正值进行最终伤害计算</t>
    <phoneticPr fontId="1" type="noConversion"/>
  </si>
  <si>
    <t>最终修正值</t>
    <phoneticPr fontId="1" type="noConversion"/>
  </si>
  <si>
    <t>特效+EQQW全中(鬼火+双装备DOT)</t>
    <phoneticPr fontId="1" type="noConversion"/>
  </si>
  <si>
    <t>装备选择</t>
    <phoneticPr fontId="1" type="noConversion"/>
  </si>
  <si>
    <t>鞋子</t>
    <phoneticPr fontId="1" type="noConversion"/>
  </si>
  <si>
    <t>手部</t>
    <phoneticPr fontId="1" type="noConversion"/>
  </si>
  <si>
    <t>法强独有</t>
    <phoneticPr fontId="1" type="noConversion"/>
  </si>
  <si>
    <t>独有</t>
    <phoneticPr fontId="1" type="noConversion"/>
  </si>
  <si>
    <t>翡翠石板</t>
  </si>
  <si>
    <t>极光陀螺</t>
    <phoneticPr fontId="1" type="noConversion"/>
  </si>
  <si>
    <t>极光陀螺(满层)</t>
    <phoneticPr fontId="1" type="noConversion"/>
  </si>
  <si>
    <t>斯嘉蒂的手镯</t>
    <phoneticPr fontId="1" type="noConversion"/>
  </si>
  <si>
    <t>魔力种子</t>
    <phoneticPr fontId="1" type="noConversion"/>
  </si>
  <si>
    <t>神速</t>
    <phoneticPr fontId="1" type="noConversion"/>
  </si>
  <si>
    <t>廷达罗斯君主</t>
    <phoneticPr fontId="1" type="noConversion"/>
  </si>
  <si>
    <t>鬼灵之爪</t>
    <phoneticPr fontId="1" type="noConversion"/>
  </si>
  <si>
    <t>芭蕉扇</t>
    <phoneticPr fontId="1" type="noConversion"/>
  </si>
  <si>
    <t>荷鲁斯之眼</t>
    <phoneticPr fontId="1" type="noConversion"/>
  </si>
  <si>
    <t>意念</t>
    <phoneticPr fontId="1" type="noConversion"/>
  </si>
  <si>
    <t>超星臂章</t>
    <phoneticPr fontId="1" type="noConversion"/>
  </si>
  <si>
    <t>死灵之书</t>
    <phoneticPr fontId="1" type="noConversion"/>
  </si>
  <si>
    <t>巨人手套</t>
    <phoneticPr fontId="1" type="noConversion"/>
  </si>
  <si>
    <t>品质</t>
    <phoneticPr fontId="1" type="noConversion"/>
  </si>
  <si>
    <t>紫</t>
    <phoneticPr fontId="1" type="noConversion"/>
  </si>
  <si>
    <t>金</t>
    <phoneticPr fontId="1" type="noConversion"/>
  </si>
  <si>
    <t>红</t>
    <phoneticPr fontId="1" type="noConversion"/>
  </si>
  <si>
    <t>风火轮</t>
    <phoneticPr fontId="1" type="noConversion"/>
  </si>
  <si>
    <t>SCV</t>
    <phoneticPr fontId="1" type="noConversion"/>
  </si>
  <si>
    <t>赤影</t>
    <phoneticPr fontId="1" type="noConversion"/>
  </si>
  <si>
    <t>恨天高</t>
    <phoneticPr fontId="1" type="noConversion"/>
  </si>
  <si>
    <t>万年冰鞋</t>
    <phoneticPr fontId="1" type="noConversion"/>
  </si>
  <si>
    <t>锋利长靴</t>
    <phoneticPr fontId="1" type="noConversion"/>
  </si>
  <si>
    <t>蔷薇轻履</t>
    <phoneticPr fontId="1" type="noConversion"/>
  </si>
  <si>
    <t>觉醒,减疗</t>
    <phoneticPr fontId="1" type="noConversion"/>
  </si>
  <si>
    <t>精灵之靴</t>
  </si>
  <si>
    <t>精灵之靴</t>
    <phoneticPr fontId="1" type="noConversion"/>
  </si>
  <si>
    <t>乘风,减疗</t>
    <phoneticPr fontId="1" type="noConversion"/>
  </si>
  <si>
    <t>德罗普尼尔</t>
    <phoneticPr fontId="1" type="noConversion"/>
  </si>
  <si>
    <t>廷达罗斯手环</t>
    <phoneticPr fontId="1" type="noConversion"/>
  </si>
  <si>
    <t>白羽扇</t>
    <phoneticPr fontId="1" type="noConversion"/>
  </si>
  <si>
    <t>熟练度等级</t>
    <phoneticPr fontId="1" type="noConversion"/>
  </si>
  <si>
    <t>熟练度法强%</t>
    <phoneticPr fontId="1" type="noConversion"/>
  </si>
  <si>
    <t>合计法强%</t>
    <phoneticPr fontId="1" type="noConversion"/>
  </si>
  <si>
    <t>已独有</t>
    <phoneticPr fontId="1" type="noConversion"/>
  </si>
  <si>
    <t>最终法强</t>
    <phoneticPr fontId="1" type="noConversion"/>
  </si>
  <si>
    <t>幽灵面具</t>
  </si>
  <si>
    <t>天赋</t>
    <phoneticPr fontId="1" type="noConversion"/>
  </si>
  <si>
    <t>凝力</t>
    <phoneticPr fontId="1" type="noConversion"/>
  </si>
  <si>
    <t>装备法强结算</t>
    <phoneticPr fontId="1" type="noConversion"/>
  </si>
  <si>
    <t>天赋法强</t>
    <phoneticPr fontId="1" type="noConversion"/>
  </si>
  <si>
    <t>猎魂熊</t>
    <phoneticPr fontId="1" type="noConversion"/>
  </si>
  <si>
    <t>向下取整</t>
    <phoneticPr fontId="1" type="noConversion"/>
  </si>
  <si>
    <t>计算过程公式拆分(debug用</t>
    <phoneticPr fontId="1" type="noConversion"/>
  </si>
  <si>
    <t>因为【爆发力】天赋有额外伤害提升，所以打肉的时候实际伤害要比这个高</t>
    <phoneticPr fontId="1" type="noConversion"/>
  </si>
  <si>
    <t>自身血量</t>
    <phoneticPr fontId="1" type="noConversion"/>
  </si>
  <si>
    <t>全中</t>
    <phoneticPr fontId="1" type="noConversion"/>
  </si>
  <si>
    <t>斥力弹F</t>
    <phoneticPr fontId="1" type="noConversion"/>
  </si>
  <si>
    <t>(((技能伤害值 + 攻击力加成or技能增幅)* 100 / (100 + ((目标防御力 * (1 - 护甲穿透率(%)))- 护甲穿透率)))* (1+(伤害提升率（%）- 目标伤害减免率（%）)))</t>
    <phoneticPr fontId="1" type="noConversion"/>
  </si>
  <si>
    <t>木桩的伤害减免是0，所以实际打到人身上记得写0.16伤害减免哈</t>
    <phoneticPr fontId="1" type="noConversion"/>
  </si>
  <si>
    <t>原来这个爆发力的额外伤害是吃一遍防御乘区然后再跟技能伤害加算</t>
  </si>
  <si>
    <t>爆发力追伤=(技能基础+法强)*爆发力系数*防御修正</t>
    <phoneticPr fontId="1" type="noConversion"/>
  </si>
  <si>
    <t>W+爆发力</t>
    <phoneticPr fontId="1" type="noConversion"/>
  </si>
  <si>
    <t>Q*3全中</t>
    <phoneticPr fontId="1" type="noConversion"/>
  </si>
  <si>
    <t>木桩伤害</t>
    <phoneticPr fontId="1" type="noConversion"/>
  </si>
  <si>
    <t>防御</t>
    <phoneticPr fontId="1" type="noConversion"/>
  </si>
  <si>
    <t>爆原始伤害</t>
    <phoneticPr fontId="1" type="noConversion"/>
  </si>
  <si>
    <t>爆理论伤</t>
    <phoneticPr fontId="1" type="noConversion"/>
  </si>
  <si>
    <t>合计</t>
    <phoneticPr fontId="1" type="noConversion"/>
  </si>
  <si>
    <t>Q理论伤害</t>
    <phoneticPr fontId="1" type="noConversion"/>
  </si>
  <si>
    <t>W爆发力追伤</t>
    <phoneticPr fontId="1" type="noConversion"/>
  </si>
  <si>
    <t>正常乘防御修正</t>
    <phoneticPr fontId="1" type="noConversion"/>
  </si>
  <si>
    <t>正常Q每段</t>
    <phoneticPr fontId="1" type="noConversion"/>
  </si>
  <si>
    <t>三段合计且取整</t>
    <phoneticPr fontId="1" type="noConversion"/>
  </si>
  <si>
    <t>←这个数据基本是对的，取整的位置应该都没问题，在大额的时候伤害会有±1的偏差</t>
    <phoneticPr fontId="1" type="noConversion"/>
  </si>
  <si>
    <t>炼狱</t>
  </si>
  <si>
    <t>传说中的手测表，感觉不如配装</t>
    <phoneticPr fontId="1" type="noConversion"/>
  </si>
  <si>
    <t>私人订制</t>
  </si>
  <si>
    <t>←这列有公式别动</t>
    <phoneticPr fontId="1" type="noConversion"/>
  </si>
  <si>
    <t>防御减少%</t>
    <phoneticPr fontId="1" type="noConversion"/>
  </si>
  <si>
    <t>爆发力增伤%</t>
    <phoneticPr fontId="1" type="noConversion"/>
  </si>
  <si>
    <t>血量差比</t>
    <phoneticPr fontId="1" type="noConversion"/>
  </si>
  <si>
    <t>10%上限</t>
    <phoneticPr fontId="1" type="noConversion"/>
  </si>
  <si>
    <t>一般直接按20级熟练度算，虽然我做了下拉列表，但是我又不想做</t>
    <phoneticPr fontId="1" type="noConversion"/>
  </si>
  <si>
    <t>吸血鬼满层</t>
    <phoneticPr fontId="1" type="noConversion"/>
  </si>
  <si>
    <t>炽燃满层</t>
    <phoneticPr fontId="1" type="noConversion"/>
  </si>
  <si>
    <t>叠层特效</t>
    <phoneticPr fontId="1" type="noConversion"/>
  </si>
  <si>
    <t>天赋和叠层还没做计算器……</t>
    <phoneticPr fontId="1" type="noConversion"/>
  </si>
  <si>
    <t>熟练等级</t>
    <phoneticPr fontId="1" type="noConversion"/>
  </si>
  <si>
    <t>←能选但没用</t>
    <phoneticPr fontId="1" type="noConversion"/>
  </si>
  <si>
    <t>←C7是防御，现在请换成C8……</t>
    <phoneticPr fontId="1" type="noConversion"/>
  </si>
  <si>
    <t>最终伤害提升(+炽燃)</t>
    <phoneticPr fontId="1" type="noConversion"/>
  </si>
  <si>
    <t>←废案别管</t>
    <phoneticPr fontId="1" type="noConversion"/>
  </si>
  <si>
    <t>斥力弹升级</t>
    <phoneticPr fontId="1" type="noConversion"/>
  </si>
  <si>
    <t>已取整</t>
    <phoneticPr fontId="1" type="noConversion"/>
  </si>
  <si>
    <t>抄俩T血防用来算一下</t>
    <phoneticPr fontId="1" type="noConversion"/>
  </si>
  <si>
    <t>我说这是配装模拟器你耳朵聋吗？</t>
    <phoneticPr fontId="1" type="noConversion"/>
  </si>
  <si>
    <t>配装器草稿</t>
    <phoneticPr fontId="1" type="noConversion"/>
  </si>
  <si>
    <t>有独有自动会算</t>
    <phoneticPr fontId="1" type="noConversion"/>
  </si>
  <si>
    <t>因为敌方熟练公式没写</t>
    <phoneticPr fontId="1" type="noConversion"/>
  </si>
  <si>
    <t>先知头巾</t>
  </si>
  <si>
    <t>修女</t>
    <phoneticPr fontId="1" type="noConversion"/>
  </si>
  <si>
    <t>Q</t>
    <phoneticPr fontId="1" type="noConversion"/>
  </si>
  <si>
    <t>R</t>
    <phoneticPr fontId="1" type="noConversion"/>
  </si>
  <si>
    <t>// 最终伤害就是加算法强后*O22*O24</t>
    <phoneticPr fontId="1" type="noConversion"/>
  </si>
  <si>
    <t>俞岷↓</t>
    <phoneticPr fontId="1" type="noConversion"/>
  </si>
  <si>
    <t>这个左表是俞岷的</t>
    <phoneticPr fontId="1" type="noConversion"/>
  </si>
  <si>
    <t>其他角色要另外写</t>
    <phoneticPr fontId="1" type="noConversion"/>
  </si>
  <si>
    <t>自己看属性每级熟练度</t>
    <phoneticPr fontId="1" type="noConversion"/>
  </si>
  <si>
    <t>二次</t>
    <phoneticPr fontId="1" type="noConversion"/>
  </si>
  <si>
    <t>//法强是B5</t>
    <phoneticPr fontId="1" type="noConversion"/>
  </si>
  <si>
    <t>R2</t>
    <phoneticPr fontId="1" type="noConversion"/>
  </si>
  <si>
    <t>体力回复我没写</t>
    <phoneticPr fontId="1" type="noConversion"/>
  </si>
  <si>
    <t>按满级技能计，多的自己填，最终伤害在上面，自己对下技能看看公式对不对（）</t>
    <phoneticPr fontId="1" type="noConversion"/>
  </si>
  <si>
    <t>一次</t>
    <phoneticPr fontId="1" type="noConversion"/>
  </si>
  <si>
    <t>R2带叠层</t>
    <phoneticPr fontId="1" type="noConversion"/>
  </si>
  <si>
    <t>叠层层数</t>
    <phoneticPr fontId="1" type="noConversion"/>
  </si>
  <si>
    <t>叠层应该是(1+n*0.2)我没测过不知道对不对我不玩修女</t>
    <phoneticPr fontId="1" type="noConversion"/>
  </si>
  <si>
    <t>↓debug的时候自己改，有问题问我吧</t>
    <phoneticPr fontId="1" type="noConversion"/>
  </si>
  <si>
    <t>PS.修女是每级4.1</t>
    <phoneticPr fontId="1" type="noConversion"/>
  </si>
  <si>
    <t>每级别熟练度法强</t>
    <phoneticPr fontId="1" type="noConversion"/>
  </si>
  <si>
    <t>debug用熟练度法强查表别管</t>
    <phoneticPr fontId="1" type="noConversion"/>
  </si>
  <si>
    <t>↓角色属性栏里自己找</t>
    <phoneticPr fontId="1" type="noConversion"/>
  </si>
  <si>
    <t>已计算独有，重复会自动取最高</t>
    <phoneticPr fontId="1" type="noConversion"/>
  </si>
  <si>
    <t>↑没加天赋</t>
    <phoneticPr fontId="1" type="noConversion"/>
  </si>
  <si>
    <t>阿戈斯之眼</t>
    <phoneticPr fontId="1" type="noConversion"/>
  </si>
  <si>
    <t>米斯特汀</t>
    <phoneticPr fontId="1" type="noConversion"/>
  </si>
  <si>
    <t>破裂</t>
    <phoneticPr fontId="1" type="noConversion"/>
  </si>
  <si>
    <t>诺斯费拉图</t>
    <phoneticPr fontId="1" type="noConversion"/>
  </si>
  <si>
    <t>诺斯费拉图-晓色</t>
    <phoneticPr fontId="1" type="noConversion"/>
  </si>
  <si>
    <t>邀明月</t>
    <phoneticPr fontId="1" type="noConversion"/>
  </si>
  <si>
    <t>大师</t>
    <phoneticPr fontId="1" type="noConversion"/>
  </si>
  <si>
    <t>这里只有法强什么的没有别的数据什么体力暴击之类的</t>
    <phoneticPr fontId="1" type="noConversion"/>
  </si>
  <si>
    <t>手动填</t>
    <phoneticPr fontId="1" type="noConversion"/>
  </si>
  <si>
    <t>红底的是公式格不要动了，只改绿底的就行</t>
    <phoneticPr fontId="1" type="noConversion"/>
  </si>
  <si>
    <t>←这是俞岷的</t>
    <phoneticPr fontId="1" type="noConversion"/>
  </si>
  <si>
    <t>←用的这个</t>
    <phoneticPr fontId="1" type="noConversion"/>
  </si>
  <si>
    <t>ps.修女的装备特效我没写，这是纯技伤，特效自己拉个公式</t>
    <phoneticPr fontId="1" type="noConversion"/>
  </si>
  <si>
    <t>↑没用</t>
    <phoneticPr fontId="1" type="noConversion"/>
  </si>
  <si>
    <t>控制变量不换天赋的情况下无所谓</t>
    <phoneticPr fontId="1" type="noConversion"/>
  </si>
  <si>
    <t>各种天赋特效我没加算只有大概数值，实际伤害一般来说只会比这个高，比如强化装置</t>
    <phoneticPr fontId="1" type="noConversion"/>
  </si>
  <si>
    <t>二次/额外</t>
    <phoneticPr fontId="1" type="noConversion"/>
  </si>
  <si>
    <t>自己向下取整一下懒得写了无论何种情况都向下取整</t>
    <phoneticPr fontId="1" type="noConversion"/>
  </si>
  <si>
    <t>←好像是对的</t>
    <phoneticPr fontId="1" type="noConversion"/>
  </si>
  <si>
    <t>看白字是对的……</t>
    <phoneticPr fontId="1" type="noConversion"/>
  </si>
  <si>
    <t>↓别动这列公式全用的这里</t>
    <phoneticPr fontId="1" type="noConversion"/>
  </si>
  <si>
    <t>阿戈斯之眼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</si>
</sst>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b/>
      <sz val="11"/>
      <color rgb="FFFF0000"/>
      <name val="等线"/>
      <family val="3"/>
      <charset val="134"/>
      <scheme val="minor"/>
    </font>
    <font>
      <b/>
      <sz val="11"/>
      <color rgb="FF7030A0"/>
      <name val="等线"/>
      <family val="3"/>
      <charset val="134"/>
      <scheme val="minor"/>
    </font>
    <font>
      <b/>
      <sz val="11"/>
      <color theme="1"/>
      <name val="等线"/>
      <family val="3"/>
      <charset val="134"/>
      <scheme val="minor"/>
    </font>
    <font>
      <sz val="9"/>
      <color indexed="81"/>
      <name val="宋体"/>
      <family val="3"/>
      <charset val="134"/>
    </font>
    <font>
      <b/>
      <sz val="9"/>
      <color indexed="81"/>
      <name val="宋体"/>
      <family val="3"/>
      <charset val="134"/>
    </font>
    <font>
      <sz val="11"/>
      <color theme="7" tint="-0.249977111117893"/>
      <name val="等线"/>
      <family val="2"/>
      <scheme val="minor"/>
    </font>
    <font>
      <sz val="11"/>
      <color theme="7" tint="-0.249977111117893"/>
      <name val="等线"/>
      <family val="3"/>
      <charset val="134"/>
      <scheme val="minor"/>
    </font>
    <font>
      <b/>
      <sz val="11"/>
      <color rgb="FFC00000"/>
      <name val="等线"/>
      <family val="3"/>
      <charset val="134"/>
      <scheme val="minor"/>
    </font>
    <font>
      <b/>
      <sz val="11"/>
      <color theme="4" tint="-0.499984740745262"/>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2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s>
  <cellStyleXfs count="1">
    <xf numFmtId="0" fontId="0" fillId="0" borderId="0"/>
  </cellStyleXfs>
  <cellXfs count="82">
    <xf numFmtId="0" fontId="0" fillId="0" borderId="0" xfId="0"/>
    <xf numFmtId="0" fontId="0" fillId="0" borderId="0" xfId="0" applyAlignment="1">
      <alignment horizontal="center"/>
    </xf>
    <xf numFmtId="0" fontId="0" fillId="0" borderId="0" xfId="0" applyAlignment="1">
      <alignment vertical="top" wrapText="1"/>
    </xf>
    <xf numFmtId="0" fontId="4" fillId="0" borderId="0" xfId="0" applyFont="1"/>
    <xf numFmtId="0" fontId="0" fillId="0" borderId="2" xfId="0" applyBorder="1"/>
    <xf numFmtId="0" fontId="0" fillId="0" borderId="3" xfId="0" applyBorder="1"/>
    <xf numFmtId="0" fontId="0" fillId="0" borderId="4" xfId="0" applyBorder="1"/>
    <xf numFmtId="9" fontId="0" fillId="0" borderId="0" xfId="0" applyNumberFormat="1"/>
    <xf numFmtId="0" fontId="0" fillId="0" borderId="0" xfId="0" applyAlignment="1">
      <alignment horizontal="left" vertical="top"/>
    </xf>
    <xf numFmtId="0" fontId="0" fillId="0" borderId="0" xfId="0" applyAlignment="1">
      <alignment horizontal="center" vertical="top"/>
    </xf>
    <xf numFmtId="9" fontId="0" fillId="0" borderId="0" xfId="0" applyNumberFormat="1" applyAlignment="1">
      <alignment horizontal="center" vertical="top"/>
    </xf>
    <xf numFmtId="10" fontId="0" fillId="0" borderId="0" xfId="0" applyNumberFormat="1" applyAlignment="1">
      <alignment horizontal="center" vertical="top"/>
    </xf>
    <xf numFmtId="0" fontId="0" fillId="0" borderId="1" xfId="0" applyBorder="1"/>
    <xf numFmtId="0" fontId="0" fillId="0" borderId="5" xfId="0" applyBorder="1"/>
    <xf numFmtId="0" fontId="0" fillId="2" borderId="5" xfId="0" applyFill="1" applyBorder="1"/>
    <xf numFmtId="0" fontId="0" fillId="0" borderId="6" xfId="0" applyBorder="1"/>
    <xf numFmtId="0" fontId="0" fillId="0" borderId="7" xfId="0" applyBorder="1"/>
    <xf numFmtId="0" fontId="0" fillId="0" borderId="8" xfId="0" applyBorder="1"/>
    <xf numFmtId="0" fontId="2" fillId="0" borderId="0" xfId="0" applyFont="1" applyAlignment="1">
      <alignment horizontal="center" vertical="top"/>
    </xf>
    <xf numFmtId="0" fontId="7" fillId="0" borderId="0" xfId="0" applyFont="1"/>
    <xf numFmtId="0" fontId="8" fillId="0" borderId="0" xfId="0" applyFont="1"/>
    <xf numFmtId="0" fontId="0" fillId="2" borderId="0" xfId="0" applyFill="1"/>
    <xf numFmtId="0" fontId="0" fillId="0" borderId="5" xfId="0" quotePrefix="1" applyBorder="1"/>
    <xf numFmtId="0" fontId="0" fillId="0" borderId="6" xfId="0" applyBorder="1">
      <extLst>
        <ext xmlns:xfpb="http://schemas.microsoft.com/office/spreadsheetml/2022/featurepropertybag" uri="{C7286773-470A-42A8-94C5-96B5CB345126}">
          <xfpb:xfComplement i="0"/>
        </ext>
      </extLst>
    </xf>
    <xf numFmtId="0" fontId="0" fillId="0" borderId="4" xfId="0" applyBorder="1">
      <extLst>
        <ext xmlns:xfpb="http://schemas.microsoft.com/office/spreadsheetml/2022/featurepropertybag" uri="{C7286773-470A-42A8-94C5-96B5CB345126}">
          <xfpb:xfComplement i="0"/>
        </ext>
      </extLst>
    </xf>
    <xf numFmtId="0" fontId="0" fillId="3" borderId="4" xfId="0" applyFill="1" applyBorder="1"/>
    <xf numFmtId="0" fontId="0" fillId="3" borderId="0" xfId="0" applyFill="1"/>
    <xf numFmtId="0" fontId="0" fillId="3" borderId="8" xfId="0" applyFill="1" applyBorder="1"/>
    <xf numFmtId="0" fontId="0" fillId="3" borderId="3" xfId="0" applyFill="1" applyBorder="1"/>
    <xf numFmtId="0" fontId="0" fillId="3" borderId="7" xfId="0" applyFill="1" applyBorder="1"/>
    <xf numFmtId="0" fontId="3" fillId="0" borderId="0" xfId="0" applyFont="1"/>
    <xf numFmtId="0" fontId="9" fillId="0" borderId="0" xfId="0" applyFont="1"/>
    <xf numFmtId="0" fontId="9" fillId="0" borderId="7" xfId="0" applyFont="1" applyBorder="1"/>
    <xf numFmtId="0" fontId="4" fillId="3" borderId="7" xfId="0" applyFont="1" applyFill="1" applyBorder="1"/>
    <xf numFmtId="0" fontId="4" fillId="3" borderId="0" xfId="0" applyFont="1" applyFill="1"/>
    <xf numFmtId="0" fontId="9" fillId="0" borderId="6" xfId="0" applyFont="1" applyBorder="1"/>
    <xf numFmtId="0" fontId="4" fillId="3" borderId="6" xfId="0" applyFont="1" applyFill="1" applyBorder="1"/>
    <xf numFmtId="0" fontId="10" fillId="0" borderId="0" xfId="0" applyFont="1"/>
    <xf numFmtId="0" fontId="4" fillId="0" borderId="1" xfId="0" applyFont="1" applyBorder="1" applyAlignment="1">
      <alignment horizontal="center"/>
    </xf>
    <xf numFmtId="0" fontId="2" fillId="0" borderId="0" xfId="0" applyFont="1"/>
    <xf numFmtId="0" fontId="4" fillId="0" borderId="12"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19" xfId="0" applyFont="1" applyBorder="1"/>
    <xf numFmtId="0" fontId="0" fillId="0" borderId="20" xfId="0" applyBorder="1"/>
    <xf numFmtId="0" fontId="0" fillId="0" borderId="21" xfId="0" applyBorder="1"/>
    <xf numFmtId="0" fontId="4" fillId="0" borderId="22" xfId="0" applyFont="1" applyBorder="1"/>
    <xf numFmtId="0" fontId="0" fillId="0" borderId="23" xfId="0" applyBorder="1"/>
    <xf numFmtId="0" fontId="0" fillId="0" borderId="24" xfId="0" applyBorder="1"/>
    <xf numFmtId="0" fontId="0" fillId="4" borderId="7" xfId="0" applyFill="1" applyBorder="1"/>
    <xf numFmtId="0" fontId="0" fillId="4" borderId="0" xfId="0" applyFill="1"/>
    <xf numFmtId="0" fontId="0" fillId="4" borderId="3" xfId="0" applyFill="1" applyBorder="1"/>
    <xf numFmtId="0" fontId="0" fillId="4" borderId="8" xfId="0" applyFill="1" applyBorder="1"/>
    <xf numFmtId="0" fontId="0" fillId="4" borderId="4" xfId="0" applyFill="1" applyBorder="1"/>
    <xf numFmtId="0" fontId="4" fillId="0" borderId="5" xfId="0" applyFont="1" applyBorder="1" applyAlignment="1">
      <alignment horizontal="center"/>
    </xf>
    <xf numFmtId="0" fontId="0" fillId="0" borderId="7" xfId="0" applyBorder="1" applyAlignment="1">
      <alignment vertical="top" wrapText="1"/>
    </xf>
    <xf numFmtId="0" fontId="0" fillId="3" borderId="0" xfId="0" applyFill="1" applyAlignment="1">
      <alignment vertical="top" wrapText="1"/>
    </xf>
    <xf numFmtId="0" fontId="0" fillId="0" borderId="6" xfId="0" applyBorder="1" applyAlignment="1">
      <alignment vertical="top" wrapText="1"/>
    </xf>
    <xf numFmtId="0" fontId="4" fillId="0" borderId="7" xfId="0" applyFont="1" applyBorder="1" applyAlignment="1">
      <alignment vertical="top" wrapText="1"/>
    </xf>
    <xf numFmtId="0" fontId="2" fillId="0" borderId="7" xfId="0" applyFont="1" applyBorder="1"/>
    <xf numFmtId="0" fontId="0" fillId="0" borderId="25" xfId="0" applyBorder="1"/>
    <xf numFmtId="0" fontId="0" fillId="0" borderId="0" xfId="0"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0" fontId="0" fillId="0" borderId="0" xfId="0" applyAlignment="1">
      <alignment horizontal="center" vertical="top" wrapText="1"/>
    </xf>
    <xf numFmtId="0" fontId="4" fillId="0" borderId="1" xfId="0" applyFont="1" applyBorder="1" applyAlignment="1">
      <alignment horizontal="center" vertical="top"/>
    </xf>
    <xf numFmtId="0" fontId="4" fillId="0" borderId="5" xfId="0" applyFont="1" applyBorder="1" applyAlignment="1">
      <alignment horizontal="center" vertical="top"/>
    </xf>
    <xf numFmtId="0" fontId="4" fillId="0" borderId="2" xfId="0" applyFont="1" applyBorder="1" applyAlignment="1">
      <alignment horizontal="center" vertical="top"/>
    </xf>
    <xf numFmtId="0" fontId="3" fillId="0" borderId="7" xfId="0" applyFont="1" applyBorder="1" applyAlignment="1">
      <alignment horizontal="center" vertical="top"/>
    </xf>
    <xf numFmtId="0" fontId="3" fillId="0" borderId="0" xfId="0" applyFont="1" applyAlignment="1">
      <alignment horizontal="center" vertical="top"/>
    </xf>
    <xf numFmtId="0" fontId="3" fillId="0" borderId="6" xfId="0" applyFont="1" applyBorder="1" applyAlignment="1">
      <alignment horizontal="center" vertical="top"/>
    </xf>
    <xf numFmtId="0" fontId="4" fillId="0" borderId="5"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0" fillId="0" borderId="0" xfId="0" applyAlignment="1">
      <alignment horizontal="center" vertical="top"/>
    </xf>
    <xf numFmtId="0" fontId="4" fillId="0" borderId="0" xfId="0" applyFont="1" applyAlignment="1">
      <alignment horizontal="center" vertical="top"/>
    </xf>
    <xf numFmtId="0" fontId="3" fillId="0" borderId="0" xfId="0" applyFont="1" applyAlignment="1">
      <alignment horizontal="center"/>
    </xf>
  </cellXfs>
  <cellStyles count="1">
    <cellStyle name="常规" xfId="0" builtinId="0"/>
  </cellStyles>
  <dxfs count="9">
    <dxf>
      <font>
        <color rgb="FF7030A0"/>
      </font>
    </dxf>
    <dxf>
      <font>
        <color theme="7" tint="-0.24994659260841701"/>
      </font>
    </dxf>
    <dxf>
      <font>
        <color rgb="FFC00000"/>
      </font>
    </dxf>
    <dxf>
      <font>
        <color rgb="FF7030A0"/>
      </font>
    </dxf>
    <dxf>
      <font>
        <color theme="7" tint="-0.24994659260841701"/>
      </font>
    </dxf>
    <dxf>
      <font>
        <color rgb="FFC00000"/>
      </font>
    </dxf>
    <dxf>
      <font>
        <color rgb="FF7030A0"/>
      </font>
    </dxf>
    <dxf>
      <font>
        <color theme="7" tint="-0.24994659260841701"/>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1"/>
  <sheetViews>
    <sheetView tabSelected="1" topLeftCell="A12" zoomScaleNormal="100" workbookViewId="0">
      <selection activeCell="F27" sqref="F27"/>
    </sheetView>
  </sheetViews>
  <sheetFormatPr defaultRowHeight="14.25" x14ac:dyDescent="0.2"/>
  <cols>
    <col min="4" max="4" width="11.5" customWidth="1"/>
    <col min="6" max="6" width="9" customWidth="1"/>
    <col min="7" max="7" width="11.375" customWidth="1"/>
    <col min="8" max="8" width="14.375" customWidth="1"/>
    <col min="10" max="10" width="10.5" customWidth="1"/>
    <col min="11" max="11" width="8.75" customWidth="1"/>
    <col min="12" max="12" width="10.375" customWidth="1"/>
    <col min="13" max="13" width="11.125" customWidth="1"/>
    <col min="14" max="14" width="18.125" customWidth="1"/>
    <col min="15" max="15" width="12.125" bestFit="1" customWidth="1"/>
  </cols>
  <sheetData>
    <row r="1" spans="1:16" ht="15" thickBot="1" x14ac:dyDescent="0.25">
      <c r="B1" s="12" t="s">
        <v>3</v>
      </c>
      <c r="C1" s="13"/>
      <c r="D1" s="14" t="s">
        <v>42</v>
      </c>
      <c r="E1" s="13" t="s">
        <v>325</v>
      </c>
      <c r="F1" s="13"/>
      <c r="G1" s="4"/>
      <c r="K1" t="s">
        <v>179</v>
      </c>
      <c r="N1" t="s">
        <v>287</v>
      </c>
      <c r="O1" t="s">
        <v>180</v>
      </c>
      <c r="P1" t="s">
        <v>181</v>
      </c>
    </row>
    <row r="2" spans="1:16" x14ac:dyDescent="0.2">
      <c r="A2" t="s">
        <v>25</v>
      </c>
      <c r="B2" s="32" t="s">
        <v>0</v>
      </c>
      <c r="C2" s="31" t="s">
        <v>1</v>
      </c>
      <c r="D2" s="31" t="s">
        <v>2</v>
      </c>
      <c r="E2" s="31" t="s">
        <v>27</v>
      </c>
      <c r="G2" s="31" t="s">
        <v>280</v>
      </c>
      <c r="H2" s="66" t="s">
        <v>278</v>
      </c>
      <c r="I2" s="67"/>
      <c r="K2">
        <f>0.002*B5</f>
        <v>1.24</v>
      </c>
      <c r="N2" t="s">
        <v>182</v>
      </c>
      <c r="O2">
        <v>2080</v>
      </c>
      <c r="P2">
        <v>131</v>
      </c>
    </row>
    <row r="3" spans="1:16" x14ac:dyDescent="0.2">
      <c r="A3">
        <v>155</v>
      </c>
      <c r="B3" s="53">
        <v>620</v>
      </c>
      <c r="C3" s="54">
        <v>0</v>
      </c>
      <c r="D3" s="54">
        <v>0</v>
      </c>
      <c r="E3" s="54">
        <v>0</v>
      </c>
      <c r="G3" s="54">
        <v>20</v>
      </c>
      <c r="H3" s="16" t="s">
        <v>276</v>
      </c>
      <c r="I3" s="23" t="b">
        <v>0</v>
      </c>
      <c r="K3">
        <f>0.002*B5+0.9</f>
        <v>2.14</v>
      </c>
      <c r="N3" t="s">
        <v>183</v>
      </c>
      <c r="O3">
        <v>3110</v>
      </c>
      <c r="P3">
        <v>156</v>
      </c>
    </row>
    <row r="4" spans="1:16" x14ac:dyDescent="0.2">
      <c r="A4" s="31" t="s">
        <v>330</v>
      </c>
      <c r="B4" s="33" t="s">
        <v>237</v>
      </c>
      <c r="D4" t="s">
        <v>316</v>
      </c>
      <c r="E4" s="34" t="s">
        <v>283</v>
      </c>
      <c r="H4" s="16" t="s">
        <v>277</v>
      </c>
      <c r="I4" s="23" t="b">
        <v>0</v>
      </c>
      <c r="N4" t="s">
        <v>184</v>
      </c>
      <c r="O4">
        <v>3160</v>
      </c>
      <c r="P4">
        <v>166</v>
      </c>
    </row>
    <row r="5" spans="1:16" ht="15" thickBot="1" x14ac:dyDescent="0.25">
      <c r="B5" s="29">
        <f>B3 + IF(I3, G3 + 14, 0)</f>
        <v>620</v>
      </c>
      <c r="E5" s="26">
        <f>E3 + IF(I4, 0.15, 0)</f>
        <v>0</v>
      </c>
      <c r="H5" s="5" t="s">
        <v>285</v>
      </c>
      <c r="I5" s="24" t="b">
        <v>1</v>
      </c>
    </row>
    <row r="6" spans="1:16" x14ac:dyDescent="0.2">
      <c r="B6" s="16" t="s">
        <v>23</v>
      </c>
      <c r="G6" s="15"/>
      <c r="N6" t="s">
        <v>185</v>
      </c>
      <c r="O6">
        <v>4110</v>
      </c>
      <c r="P6">
        <v>187</v>
      </c>
    </row>
    <row r="7" spans="1:16" x14ac:dyDescent="0.2">
      <c r="B7" s="32" t="s">
        <v>24</v>
      </c>
      <c r="C7" s="31" t="s">
        <v>257</v>
      </c>
      <c r="D7" s="31" t="s">
        <v>271</v>
      </c>
      <c r="E7" s="31" t="s">
        <v>26</v>
      </c>
      <c r="F7" s="34" t="s">
        <v>274</v>
      </c>
      <c r="G7" s="35" t="s">
        <v>280</v>
      </c>
      <c r="H7" t="s">
        <v>281</v>
      </c>
      <c r="K7" s="3" t="s">
        <v>38</v>
      </c>
      <c r="N7" t="s">
        <v>186</v>
      </c>
      <c r="O7">
        <v>4110</v>
      </c>
      <c r="P7">
        <v>212</v>
      </c>
    </row>
    <row r="8" spans="1:16" ht="15" thickBot="1" x14ac:dyDescent="0.25">
      <c r="B8" s="55">
        <v>1000</v>
      </c>
      <c r="C8" s="56">
        <v>140</v>
      </c>
      <c r="D8" s="56">
        <v>0</v>
      </c>
      <c r="E8" s="56">
        <v>0</v>
      </c>
      <c r="F8" s="27">
        <f>0.1*B8</f>
        <v>100</v>
      </c>
      <c r="G8" s="57">
        <v>20</v>
      </c>
      <c r="H8" t="s">
        <v>291</v>
      </c>
      <c r="J8" s="3" t="s">
        <v>37</v>
      </c>
      <c r="K8" t="s">
        <v>40</v>
      </c>
    </row>
    <row r="9" spans="1:16" x14ac:dyDescent="0.2">
      <c r="B9" s="32" t="s">
        <v>247</v>
      </c>
      <c r="C9" s="34" t="s">
        <v>273</v>
      </c>
      <c r="D9" s="36" t="s">
        <v>272</v>
      </c>
      <c r="J9" s="30">
        <f>50+B5*0.15</f>
        <v>143</v>
      </c>
    </row>
    <row r="10" spans="1:16" ht="15" thickBot="1" x14ac:dyDescent="0.25">
      <c r="B10" s="55">
        <v>2514</v>
      </c>
      <c r="C10" s="27">
        <f>MIN(0.4, MAX(0.1, (B8-B10)/B10))</f>
        <v>0.1</v>
      </c>
      <c r="D10" s="25">
        <f>MIN(0.1, MAX(0, (B8-B10)/B10) * 0.25)</f>
        <v>0</v>
      </c>
      <c r="J10" s="3" t="s">
        <v>36</v>
      </c>
      <c r="L10" t="s">
        <v>39</v>
      </c>
    </row>
    <row r="11" spans="1:16" x14ac:dyDescent="0.2">
      <c r="A11" t="s">
        <v>326</v>
      </c>
      <c r="J11">
        <f>B8*(0.9+0.002*B5)/100</f>
        <v>21.4</v>
      </c>
      <c r="K11">
        <f>J11*O26</f>
        <v>8.9166666666666661</v>
      </c>
      <c r="L11" s="30">
        <f>3*K11</f>
        <v>26.75</v>
      </c>
    </row>
    <row r="12" spans="1:16" x14ac:dyDescent="0.2">
      <c r="A12" t="s">
        <v>275</v>
      </c>
      <c r="J12" s="3" t="s">
        <v>45</v>
      </c>
    </row>
    <row r="13" spans="1:16" x14ac:dyDescent="0.2">
      <c r="J13">
        <f>10+20+B8*0.03</f>
        <v>60</v>
      </c>
      <c r="K13" s="30">
        <f>J13*O26</f>
        <v>25</v>
      </c>
    </row>
    <row r="14" spans="1:16" x14ac:dyDescent="0.2">
      <c r="A14" t="s">
        <v>19</v>
      </c>
      <c r="J14" s="3" t="s">
        <v>46</v>
      </c>
      <c r="K14" t="s">
        <v>47</v>
      </c>
    </row>
    <row r="15" spans="1:16" x14ac:dyDescent="0.2">
      <c r="J15">
        <f>50+B8*0.7*0.08</f>
        <v>106</v>
      </c>
      <c r="K15" s="30">
        <f>J15*O26</f>
        <v>44.166666666666671</v>
      </c>
    </row>
    <row r="16" spans="1:16" x14ac:dyDescent="0.2">
      <c r="A16" t="s">
        <v>332</v>
      </c>
      <c r="J16" s="3" t="s">
        <v>48</v>
      </c>
      <c r="L16" s="3" t="s">
        <v>188</v>
      </c>
    </row>
    <row r="17" spans="1:17" x14ac:dyDescent="0.2">
      <c r="A17" t="s">
        <v>331</v>
      </c>
      <c r="J17" s="30">
        <f>L11+J9+K13+K15</f>
        <v>238.91666666666669</v>
      </c>
      <c r="K17" s="1" t="s">
        <v>49</v>
      </c>
      <c r="L17" s="30">
        <f>熟练度级别法强加成表!M22</f>
        <v>374</v>
      </c>
    </row>
    <row r="18" spans="1:17" ht="15" thickBot="1" x14ac:dyDescent="0.25">
      <c r="J18" s="37" t="s">
        <v>249</v>
      </c>
      <c r="O18" t="s">
        <v>337</v>
      </c>
    </row>
    <row r="19" spans="1:17" x14ac:dyDescent="0.2">
      <c r="A19" t="s">
        <v>190</v>
      </c>
      <c r="J19">
        <f>5*(10+G3*1)+(B8*0.006) + IF(I5, 3*(10+G3*1), 0)</f>
        <v>246</v>
      </c>
      <c r="M19" s="38" t="s">
        <v>189</v>
      </c>
      <c r="N19" s="58"/>
      <c r="O19" s="58"/>
      <c r="P19" s="13"/>
      <c r="Q19" s="4"/>
    </row>
    <row r="20" spans="1:17" x14ac:dyDescent="0.2">
      <c r="A20" t="s">
        <v>246</v>
      </c>
      <c r="M20" s="16" t="s">
        <v>28</v>
      </c>
      <c r="N20" t="s">
        <v>113</v>
      </c>
      <c r="O20" t="s">
        <v>282</v>
      </c>
      <c r="Q20" s="15"/>
    </row>
    <row r="21" spans="1:17" ht="14.25" customHeight="1" thickBot="1" x14ac:dyDescent="0.25">
      <c r="A21" t="s">
        <v>251</v>
      </c>
      <c r="M21" s="16" t="s">
        <v>29</v>
      </c>
      <c r="N21" t="s">
        <v>114</v>
      </c>
      <c r="Q21" s="15"/>
    </row>
    <row r="22" spans="1:17" ht="16.5" customHeight="1" x14ac:dyDescent="0.2">
      <c r="A22" s="66" t="s">
        <v>293</v>
      </c>
      <c r="B22" s="75"/>
      <c r="C22" s="75"/>
      <c r="D22" s="75"/>
      <c r="E22" s="75"/>
      <c r="F22" s="75"/>
      <c r="G22" s="75"/>
      <c r="H22" s="75"/>
      <c r="I22" s="75"/>
      <c r="J22" s="67"/>
      <c r="K22" s="2"/>
      <c r="L22" s="2"/>
      <c r="M22" s="59" t="s">
        <v>31</v>
      </c>
      <c r="N22" s="68" t="s">
        <v>41</v>
      </c>
      <c r="O22" s="60">
        <f>100/(100+C8*(1-D8)*(1-D3)-C3)</f>
        <v>0.41666666666666669</v>
      </c>
      <c r="P22" s="2"/>
      <c r="Q22" s="15"/>
    </row>
    <row r="23" spans="1:17" x14ac:dyDescent="0.2">
      <c r="A23" s="16"/>
      <c r="E23" t="s">
        <v>310</v>
      </c>
      <c r="J23" s="15"/>
      <c r="K23" s="2"/>
      <c r="L23" s="2"/>
      <c r="M23" s="59"/>
      <c r="N23" s="68"/>
      <c r="O23" s="2"/>
      <c r="P23" s="2"/>
      <c r="Q23" s="15"/>
    </row>
    <row r="24" spans="1:17" x14ac:dyDescent="0.2">
      <c r="A24" s="63" t="s">
        <v>296</v>
      </c>
      <c r="E24" s="39" t="s">
        <v>302</v>
      </c>
      <c r="G24" t="s">
        <v>309</v>
      </c>
      <c r="J24" s="15"/>
      <c r="K24" s="2"/>
      <c r="L24" s="2"/>
      <c r="M24" s="59" t="s">
        <v>192</v>
      </c>
      <c r="N24" s="2" t="s">
        <v>34</v>
      </c>
      <c r="O24" s="60">
        <f>1+E5-E8</f>
        <v>1</v>
      </c>
      <c r="P24" s="2"/>
      <c r="Q24" s="61"/>
    </row>
    <row r="25" spans="1:17" x14ac:dyDescent="0.2">
      <c r="A25" s="64"/>
      <c r="B25" s="41" t="s">
        <v>305</v>
      </c>
      <c r="C25" s="41"/>
      <c r="D25" s="41"/>
      <c r="E25" s="41"/>
      <c r="F25" s="41"/>
      <c r="G25" s="41"/>
      <c r="H25" s="41"/>
      <c r="I25" s="41"/>
      <c r="J25" s="42"/>
      <c r="K25" s="2"/>
      <c r="L25" s="2"/>
      <c r="M25" s="59"/>
      <c r="N25" s="2"/>
      <c r="O25" s="2"/>
      <c r="P25" s="2"/>
      <c r="Q25" s="61"/>
    </row>
    <row r="26" spans="1:17" x14ac:dyDescent="0.2">
      <c r="A26" s="16" t="s">
        <v>293</v>
      </c>
      <c r="B26" t="s">
        <v>294</v>
      </c>
      <c r="C26" t="s">
        <v>10</v>
      </c>
      <c r="D26" t="s">
        <v>11</v>
      </c>
      <c r="E26" t="s">
        <v>295</v>
      </c>
      <c r="F26" t="s">
        <v>303</v>
      </c>
      <c r="G26" t="s">
        <v>307</v>
      </c>
      <c r="H26" t="s">
        <v>308</v>
      </c>
      <c r="J26" s="15"/>
      <c r="M26" s="62" t="s">
        <v>194</v>
      </c>
      <c r="N26" s="2"/>
      <c r="O26" s="26">
        <f>O22*O24</f>
        <v>0.41666666666666669</v>
      </c>
      <c r="P26" t="s">
        <v>328</v>
      </c>
      <c r="Q26" s="15"/>
    </row>
    <row r="27" spans="1:17" x14ac:dyDescent="0.2">
      <c r="A27" s="16" t="s">
        <v>306</v>
      </c>
      <c r="B27">
        <f>180+B5*0.65</f>
        <v>583</v>
      </c>
      <c r="C27">
        <f>160+0.5*B5+0.1*B8</f>
        <v>570</v>
      </c>
      <c r="D27">
        <f>130+0.4*B5</f>
        <v>378</v>
      </c>
      <c r="E27">
        <f>80+0.25*B5</f>
        <v>235</v>
      </c>
      <c r="F27">
        <f>150+0.25*B5</f>
        <v>305</v>
      </c>
      <c r="G27">
        <f>F27*(1+0.2)</f>
        <v>366</v>
      </c>
      <c r="H27" s="65">
        <v>1</v>
      </c>
      <c r="J27" s="15"/>
      <c r="M27" s="16"/>
      <c r="Q27" s="15"/>
    </row>
    <row r="28" spans="1:17" x14ac:dyDescent="0.2">
      <c r="A28" s="16" t="s">
        <v>333</v>
      </c>
      <c r="B28">
        <f>50+0.08*B5</f>
        <v>99.6</v>
      </c>
      <c r="D28">
        <f>160+0.7*B5</f>
        <v>594</v>
      </c>
      <c r="G28">
        <f>F27*(1+0.4)</f>
        <v>427</v>
      </c>
      <c r="H28" s="65">
        <v>2</v>
      </c>
      <c r="J28" s="15"/>
      <c r="M28" s="16"/>
      <c r="N28" s="2"/>
      <c r="Q28" s="15"/>
    </row>
    <row r="29" spans="1:17" x14ac:dyDescent="0.2">
      <c r="A29" s="16"/>
      <c r="G29">
        <f>F27*(1+0.6)</f>
        <v>488</v>
      </c>
      <c r="H29" s="65">
        <v>3</v>
      </c>
      <c r="J29" s="15"/>
      <c r="M29" s="16"/>
      <c r="Q29" s="15"/>
    </row>
    <row r="30" spans="1:17" x14ac:dyDescent="0.2">
      <c r="A30" s="16"/>
      <c r="G30">
        <f>F27*(1+0.8)</f>
        <v>549</v>
      </c>
      <c r="H30" s="65">
        <v>4</v>
      </c>
      <c r="I30" t="s">
        <v>335</v>
      </c>
      <c r="J30" s="15"/>
      <c r="M30" s="16" t="s">
        <v>253</v>
      </c>
      <c r="Q30" s="15"/>
    </row>
    <row r="31" spans="1:17" x14ac:dyDescent="0.2">
      <c r="A31" s="63" t="s">
        <v>33</v>
      </c>
      <c r="B31" t="s">
        <v>334</v>
      </c>
      <c r="I31" t="s">
        <v>336</v>
      </c>
      <c r="J31" s="15"/>
      <c r="M31" s="16" t="s">
        <v>117</v>
      </c>
      <c r="Q31" s="15"/>
    </row>
    <row r="32" spans="1:17" ht="14.25" customHeight="1" x14ac:dyDescent="0.2">
      <c r="A32" s="16" t="s">
        <v>306</v>
      </c>
      <c r="B32">
        <f>B27*O22*O24</f>
        <v>242.91666666666669</v>
      </c>
      <c r="C32">
        <f>C27*O22*O24</f>
        <v>237.5</v>
      </c>
      <c r="D32">
        <f>D27*O22*O24</f>
        <v>157.5</v>
      </c>
      <c r="E32">
        <f>E27*O22*O24</f>
        <v>97.916666666666671</v>
      </c>
      <c r="F32">
        <f>F27*O22*O24</f>
        <v>127.08333333333334</v>
      </c>
      <c r="G32">
        <f>G27*O22*O24</f>
        <v>152.5</v>
      </c>
      <c r="J32" s="15"/>
      <c r="M32" s="16" t="s">
        <v>118</v>
      </c>
      <c r="Q32" s="15"/>
    </row>
    <row r="33" spans="1:17" x14ac:dyDescent="0.2">
      <c r="A33" s="16" t="s">
        <v>301</v>
      </c>
      <c r="B33">
        <f>B28*O22*O24</f>
        <v>41.5</v>
      </c>
      <c r="D33">
        <f>D28*O22*O24</f>
        <v>247.5</v>
      </c>
      <c r="G33">
        <f>G28*O22*O24</f>
        <v>177.91666666666669</v>
      </c>
      <c r="J33" s="15"/>
      <c r="M33" s="16" t="s">
        <v>121</v>
      </c>
      <c r="Q33" s="15"/>
    </row>
    <row r="34" spans="1:17" x14ac:dyDescent="0.2">
      <c r="A34" s="16"/>
      <c r="G34">
        <f>G29*O22*O24</f>
        <v>203.33333333333334</v>
      </c>
      <c r="J34" s="15"/>
      <c r="M34" s="16" t="s">
        <v>28</v>
      </c>
      <c r="N34" t="s">
        <v>115</v>
      </c>
      <c r="Q34" s="15"/>
    </row>
    <row r="35" spans="1:17" x14ac:dyDescent="0.2">
      <c r="A35" s="16" t="s">
        <v>329</v>
      </c>
      <c r="G35">
        <f>G30*O22*O24</f>
        <v>228.75</v>
      </c>
      <c r="J35" s="15"/>
      <c r="M35" s="16" t="s">
        <v>29</v>
      </c>
      <c r="N35" t="s">
        <v>116</v>
      </c>
      <c r="Q35" s="15"/>
    </row>
    <row r="36" spans="1:17" x14ac:dyDescent="0.2">
      <c r="A36" s="16"/>
      <c r="J36" s="15"/>
      <c r="M36" s="16" t="s">
        <v>124</v>
      </c>
      <c r="N36" t="s">
        <v>119</v>
      </c>
      <c r="Q36" s="15"/>
    </row>
    <row r="37" spans="1:17" ht="15" thickBot="1" x14ac:dyDescent="0.25">
      <c r="A37" s="5" t="s">
        <v>304</v>
      </c>
      <c r="B37" s="17"/>
      <c r="C37" s="17"/>
      <c r="D37" s="17"/>
      <c r="E37" s="17"/>
      <c r="F37" s="17"/>
      <c r="G37" s="17"/>
      <c r="H37" s="17"/>
      <c r="I37" s="17"/>
      <c r="J37" s="6"/>
      <c r="M37" s="16" t="s">
        <v>30</v>
      </c>
      <c r="N37" t="s">
        <v>120</v>
      </c>
      <c r="Q37" s="15"/>
    </row>
    <row r="38" spans="1:17" x14ac:dyDescent="0.2">
      <c r="M38" s="16" t="s">
        <v>122</v>
      </c>
      <c r="N38" t="s">
        <v>123</v>
      </c>
      <c r="Q38" s="15"/>
    </row>
    <row r="39" spans="1:17" ht="15" thickBot="1" x14ac:dyDescent="0.25">
      <c r="M39" s="5" t="s">
        <v>33</v>
      </c>
      <c r="N39" s="17" t="s">
        <v>125</v>
      </c>
      <c r="O39" s="17"/>
      <c r="P39" s="17"/>
      <c r="Q39" s="6"/>
    </row>
    <row r="40" spans="1:17" x14ac:dyDescent="0.2">
      <c r="A40" t="s">
        <v>191</v>
      </c>
    </row>
    <row r="41" spans="1:17" x14ac:dyDescent="0.2">
      <c r="A41" t="s">
        <v>250</v>
      </c>
    </row>
    <row r="58" spans="4:8" ht="15" thickBot="1" x14ac:dyDescent="0.25"/>
    <row r="59" spans="4:8" x14ac:dyDescent="0.2">
      <c r="D59" s="69" t="s">
        <v>187</v>
      </c>
      <c r="E59" s="70"/>
      <c r="F59" s="70"/>
      <c r="G59" s="71"/>
      <c r="H59" t="s">
        <v>327</v>
      </c>
    </row>
    <row r="60" spans="4:8" x14ac:dyDescent="0.2">
      <c r="D60" s="29">
        <f>B83+C83+F82+D82</f>
        <v>1554.1666666666667</v>
      </c>
      <c r="G60" s="15"/>
    </row>
    <row r="61" spans="4:8" x14ac:dyDescent="0.2">
      <c r="D61" s="72" t="s">
        <v>195</v>
      </c>
      <c r="E61" s="73"/>
      <c r="F61" s="73"/>
      <c r="G61" s="74"/>
    </row>
    <row r="62" spans="4:8" ht="15" thickBot="1" x14ac:dyDescent="0.25">
      <c r="D62" s="28">
        <f>B84+J17+L17</f>
        <v>2167.0833333333335</v>
      </c>
      <c r="E62" s="17"/>
      <c r="F62" s="17"/>
      <c r="G62" s="6"/>
    </row>
    <row r="66" spans="1:10" x14ac:dyDescent="0.2">
      <c r="A66" t="s">
        <v>297</v>
      </c>
    </row>
    <row r="68" spans="1:10" x14ac:dyDescent="0.2">
      <c r="A68" s="40" t="s">
        <v>16</v>
      </c>
      <c r="B68" s="41" t="s">
        <v>32</v>
      </c>
      <c r="C68" s="41" t="s">
        <v>18</v>
      </c>
      <c r="D68" s="41" t="s">
        <v>10</v>
      </c>
      <c r="E68" s="41" t="s">
        <v>12</v>
      </c>
      <c r="F68" s="41" t="s">
        <v>11</v>
      </c>
      <c r="G68" s="41" t="s">
        <v>20</v>
      </c>
      <c r="H68" s="42" t="s">
        <v>21</v>
      </c>
      <c r="I68" s="41"/>
      <c r="J68" s="43"/>
    </row>
    <row r="69" spans="1:10" x14ac:dyDescent="0.2">
      <c r="A69" s="44" t="s">
        <v>8</v>
      </c>
      <c r="B69">
        <v>50</v>
      </c>
      <c r="C69">
        <v>50</v>
      </c>
      <c r="D69">
        <v>80</v>
      </c>
      <c r="E69">
        <v>100</v>
      </c>
      <c r="F69">
        <v>60</v>
      </c>
      <c r="G69">
        <v>50</v>
      </c>
      <c r="H69" s="15">
        <v>100</v>
      </c>
      <c r="J69" s="45"/>
    </row>
    <row r="70" spans="1:10" x14ac:dyDescent="0.2">
      <c r="A70" s="44" t="s">
        <v>9</v>
      </c>
      <c r="B70">
        <v>65</v>
      </c>
      <c r="C70">
        <v>70</v>
      </c>
      <c r="D70">
        <v>110</v>
      </c>
      <c r="E70">
        <v>135</v>
      </c>
      <c r="F70">
        <v>95</v>
      </c>
      <c r="G70">
        <v>100</v>
      </c>
      <c r="H70" s="15">
        <v>200</v>
      </c>
      <c r="J70" s="45"/>
    </row>
    <row r="71" spans="1:10" x14ac:dyDescent="0.2">
      <c r="A71" s="44" t="s">
        <v>13</v>
      </c>
      <c r="B71">
        <v>80</v>
      </c>
      <c r="C71">
        <v>90</v>
      </c>
      <c r="D71">
        <v>140</v>
      </c>
      <c r="E71">
        <v>170</v>
      </c>
      <c r="F71">
        <v>130</v>
      </c>
      <c r="G71">
        <v>150</v>
      </c>
      <c r="H71" s="15">
        <v>300</v>
      </c>
      <c r="J71" s="45"/>
    </row>
    <row r="72" spans="1:10" x14ac:dyDescent="0.2">
      <c r="A72" s="44" t="s">
        <v>14</v>
      </c>
      <c r="B72">
        <v>95</v>
      </c>
      <c r="C72">
        <v>110</v>
      </c>
      <c r="D72">
        <v>170</v>
      </c>
      <c r="E72">
        <v>205</v>
      </c>
      <c r="F72">
        <v>165</v>
      </c>
      <c r="H72" s="15"/>
      <c r="J72" s="45"/>
    </row>
    <row r="73" spans="1:10" ht="15" thickBot="1" x14ac:dyDescent="0.25">
      <c r="A73" s="46" t="s">
        <v>15</v>
      </c>
      <c r="B73" s="17">
        <v>110</v>
      </c>
      <c r="C73" s="17">
        <v>130</v>
      </c>
      <c r="D73" s="17">
        <v>200</v>
      </c>
      <c r="E73" s="17">
        <v>240</v>
      </c>
      <c r="F73" s="17">
        <v>200</v>
      </c>
      <c r="G73" s="17"/>
      <c r="H73" s="6"/>
      <c r="J73" s="45"/>
    </row>
    <row r="74" spans="1:10" ht="15" thickBot="1" x14ac:dyDescent="0.25">
      <c r="A74" s="44" t="s">
        <v>193</v>
      </c>
      <c r="J74" s="45"/>
    </row>
    <row r="75" spans="1:10" x14ac:dyDescent="0.2">
      <c r="A75" s="47" t="s">
        <v>17</v>
      </c>
      <c r="B75" s="13" t="s">
        <v>35</v>
      </c>
      <c r="C75" s="13" t="s">
        <v>18</v>
      </c>
      <c r="D75" s="13" t="s">
        <v>10</v>
      </c>
      <c r="E75" s="13" t="s">
        <v>12</v>
      </c>
      <c r="F75" s="13" t="s">
        <v>11</v>
      </c>
      <c r="G75" s="13" t="s">
        <v>20</v>
      </c>
      <c r="H75" s="13" t="s">
        <v>21</v>
      </c>
      <c r="I75" s="22" t="s">
        <v>22</v>
      </c>
      <c r="J75" s="48"/>
    </row>
    <row r="76" spans="1:10" x14ac:dyDescent="0.2">
      <c r="A76" s="44" t="s">
        <v>8</v>
      </c>
      <c r="B76">
        <f>50+0.4*B5</f>
        <v>298</v>
      </c>
      <c r="C76">
        <f>0.4*B5+50</f>
        <v>298</v>
      </c>
      <c r="D76">
        <f>0.7*B5+80</f>
        <v>514</v>
      </c>
      <c r="E76">
        <f>0.75*B5+100</f>
        <v>565</v>
      </c>
      <c r="F76">
        <f>0.5*B5+60</f>
        <v>370</v>
      </c>
      <c r="G76">
        <f>0.45*B5+50</f>
        <v>329</v>
      </c>
      <c r="H76">
        <f>0.7*B5+100</f>
        <v>534</v>
      </c>
      <c r="I76">
        <f>H76+F8</f>
        <v>634</v>
      </c>
      <c r="J76" s="45"/>
    </row>
    <row r="77" spans="1:10" x14ac:dyDescent="0.2">
      <c r="A77" s="44" t="s">
        <v>9</v>
      </c>
      <c r="B77">
        <f>0.4*B5+65</f>
        <v>313</v>
      </c>
      <c r="C77">
        <f>0.4*B5+70</f>
        <v>318</v>
      </c>
      <c r="D77">
        <f>0.7*B5+110</f>
        <v>544</v>
      </c>
      <c r="E77">
        <f>0.75*B5+135</f>
        <v>600</v>
      </c>
      <c r="F77">
        <f>0.5*B5+95</f>
        <v>405</v>
      </c>
      <c r="G77">
        <f>0.45*B5+100</f>
        <v>379</v>
      </c>
      <c r="H77">
        <f>0.7*B5+200</f>
        <v>634</v>
      </c>
      <c r="I77">
        <f>H77+F8</f>
        <v>734</v>
      </c>
      <c r="J77" s="45"/>
    </row>
    <row r="78" spans="1:10" x14ac:dyDescent="0.2">
      <c r="A78" s="44" t="s">
        <v>13</v>
      </c>
      <c r="B78">
        <f>0.4*B5+80</f>
        <v>328</v>
      </c>
      <c r="C78">
        <f>0.4*B5+90</f>
        <v>338</v>
      </c>
      <c r="D78">
        <f>0.7*B5+140</f>
        <v>574</v>
      </c>
      <c r="E78">
        <f>0.75*B5+170</f>
        <v>635</v>
      </c>
      <c r="F78">
        <f>0.5*B5+130</f>
        <v>440</v>
      </c>
      <c r="G78">
        <f>0.45*B5+150</f>
        <v>429</v>
      </c>
      <c r="H78">
        <f>0.7*B5+300</f>
        <v>734</v>
      </c>
      <c r="I78">
        <f>H78+F8</f>
        <v>834</v>
      </c>
      <c r="J78" s="45"/>
    </row>
    <row r="79" spans="1:10" x14ac:dyDescent="0.2">
      <c r="A79" s="44" t="s">
        <v>14</v>
      </c>
      <c r="B79">
        <f>0.4*B5+95</f>
        <v>343</v>
      </c>
      <c r="C79">
        <f>0.4*B5+110</f>
        <v>358</v>
      </c>
      <c r="D79">
        <f>0.7*B5+170</f>
        <v>604</v>
      </c>
      <c r="E79">
        <f>0.75*B5+205</f>
        <v>670</v>
      </c>
      <c r="F79">
        <f>0.5*B5+165</f>
        <v>475</v>
      </c>
      <c r="J79" s="45"/>
    </row>
    <row r="80" spans="1:10" ht="15" thickBot="1" x14ac:dyDescent="0.25">
      <c r="A80" s="46" t="s">
        <v>15</v>
      </c>
      <c r="B80" s="17">
        <f>0.4*B5+110</f>
        <v>358</v>
      </c>
      <c r="C80" s="17">
        <f>0.4*B5+130</f>
        <v>378</v>
      </c>
      <c r="D80" s="17">
        <f>0.7*B5+200</f>
        <v>634</v>
      </c>
      <c r="E80" s="17">
        <f>0.75*B5+240</f>
        <v>705</v>
      </c>
      <c r="F80" s="17">
        <f>0.5*B5+200</f>
        <v>510</v>
      </c>
      <c r="G80" s="17"/>
      <c r="H80" s="17"/>
      <c r="I80" s="17"/>
      <c r="J80" s="49"/>
    </row>
    <row r="81" spans="1:13" x14ac:dyDescent="0.2">
      <c r="A81" s="44"/>
      <c r="J81" s="45"/>
    </row>
    <row r="82" spans="1:13" x14ac:dyDescent="0.2">
      <c r="A82" s="44" t="s">
        <v>33</v>
      </c>
      <c r="B82">
        <f>B80*O22*O24</f>
        <v>149.16666666666669</v>
      </c>
      <c r="C82">
        <f>C80*O22*O24</f>
        <v>157.5</v>
      </c>
      <c r="D82">
        <f>D80*O22*O24</f>
        <v>264.16666666666669</v>
      </c>
      <c r="E82">
        <f>E80*O22*O24</f>
        <v>293.75</v>
      </c>
      <c r="F82">
        <f>F80*O22*O24</f>
        <v>212.5</v>
      </c>
      <c r="G82">
        <f>G78*O22*O24</f>
        <v>178.75</v>
      </c>
      <c r="H82">
        <f>H78*O22*O24</f>
        <v>305.83333333333337</v>
      </c>
      <c r="I82">
        <f>I78*O22*O24</f>
        <v>347.5</v>
      </c>
      <c r="J82" s="45"/>
    </row>
    <row r="83" spans="1:13" x14ac:dyDescent="0.2">
      <c r="A83" s="44" t="s">
        <v>248</v>
      </c>
      <c r="B83">
        <f>B82*3</f>
        <v>447.50000000000006</v>
      </c>
      <c r="C83">
        <f>C82*4</f>
        <v>630</v>
      </c>
      <c r="J83" s="45"/>
    </row>
    <row r="84" spans="1:13" x14ac:dyDescent="0.2">
      <c r="A84" s="50" t="s">
        <v>43</v>
      </c>
      <c r="B84" s="51">
        <f>B83+C83+F82+D82</f>
        <v>1554.1666666666667</v>
      </c>
      <c r="C84" s="51"/>
      <c r="D84" s="51"/>
      <c r="E84" s="51"/>
      <c r="F84" s="51"/>
      <c r="G84" s="51"/>
      <c r="H84" s="51"/>
      <c r="I84" s="51"/>
      <c r="J84" s="52"/>
    </row>
    <row r="85" spans="1:13" x14ac:dyDescent="0.2">
      <c r="A85" s="39" t="s">
        <v>296</v>
      </c>
    </row>
    <row r="87" spans="1:13" x14ac:dyDescent="0.2">
      <c r="A87" t="s">
        <v>255</v>
      </c>
      <c r="B87" t="s">
        <v>257</v>
      </c>
      <c r="C87" t="s">
        <v>256</v>
      </c>
      <c r="D87" t="s">
        <v>258</v>
      </c>
      <c r="E87" t="s">
        <v>259</v>
      </c>
      <c r="F87" t="s">
        <v>261</v>
      </c>
      <c r="G87" t="s">
        <v>260</v>
      </c>
      <c r="I87" t="s">
        <v>264</v>
      </c>
      <c r="J87" t="s">
        <v>263</v>
      </c>
      <c r="K87" t="s">
        <v>265</v>
      </c>
    </row>
    <row r="88" spans="1:13" x14ac:dyDescent="0.2">
      <c r="B88">
        <v>100</v>
      </c>
      <c r="C88">
        <v>957</v>
      </c>
      <c r="D88">
        <v>93</v>
      </c>
      <c r="E88">
        <f>3*INT(B80)*0.1*O26</f>
        <v>44.750000000000007</v>
      </c>
      <c r="F88">
        <f>B80*O27*3</f>
        <v>0</v>
      </c>
      <c r="G88">
        <f>INT(E88)+INT(F88)</f>
        <v>44</v>
      </c>
      <c r="I88">
        <f>INT(B80)</f>
        <v>358</v>
      </c>
      <c r="J88">
        <f>I88*O26</f>
        <v>149.16666666666669</v>
      </c>
      <c r="K88">
        <f>3*INT(J88)</f>
        <v>447</v>
      </c>
      <c r="L88">
        <f>INT(K88)+INT(E88)</f>
        <v>491</v>
      </c>
      <c r="M88" t="s">
        <v>266</v>
      </c>
    </row>
    <row r="89" spans="1:13" x14ac:dyDescent="0.2">
      <c r="B89">
        <v>100</v>
      </c>
      <c r="C89">
        <v>957</v>
      </c>
      <c r="D89">
        <v>93</v>
      </c>
      <c r="E89">
        <v>87.389830508474603</v>
      </c>
      <c r="F89">
        <v>873</v>
      </c>
      <c r="G89">
        <f>E89+F89</f>
        <v>960.38983050847457</v>
      </c>
    </row>
    <row r="90" spans="1:13" x14ac:dyDescent="0.2">
      <c r="A90" t="s">
        <v>262</v>
      </c>
      <c r="B90">
        <f>D10*ROUNDDOWN(D80,0)*O26</f>
        <v>0</v>
      </c>
      <c r="C90" t="s">
        <v>284</v>
      </c>
    </row>
    <row r="91" spans="1:13" x14ac:dyDescent="0.2">
      <c r="A91" t="s">
        <v>254</v>
      </c>
      <c r="B91">
        <f>ROUNDDOWN(D82,0) + ROUNDDOWN(B90,0)</f>
        <v>264</v>
      </c>
    </row>
  </sheetData>
  <mergeCells count="5">
    <mergeCell ref="H2:I2"/>
    <mergeCell ref="N22:N23"/>
    <mergeCell ref="D59:G59"/>
    <mergeCell ref="D61:G61"/>
    <mergeCell ref="A22:J22"/>
  </mergeCells>
  <phoneticPr fontId="1" type="noConversion"/>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9868087-E64A-42A0-B34C-3EED481E1440}">
          <x14:formula1>
            <xm:f>熟练度级别法强加成表!$A$1:$A$20</xm:f>
          </x14:formula1>
          <xm:sqref>G3 G8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2A3A-F502-4E1B-A4CE-20E872D74446}">
  <dimension ref="B1:O15"/>
  <sheetViews>
    <sheetView workbookViewId="0">
      <selection activeCell="C4" sqref="C4"/>
    </sheetView>
  </sheetViews>
  <sheetFormatPr defaultRowHeight="14.25" x14ac:dyDescent="0.2"/>
  <cols>
    <col min="9" max="9" width="18.875" customWidth="1"/>
  </cols>
  <sheetData>
    <row r="1" spans="2:15" ht="15" thickBot="1" x14ac:dyDescent="0.25">
      <c r="B1" s="76" t="s">
        <v>288</v>
      </c>
      <c r="C1" s="77"/>
      <c r="D1" s="77"/>
      <c r="E1" s="77"/>
      <c r="F1" s="77"/>
      <c r="G1" s="77"/>
      <c r="H1" s="78"/>
    </row>
    <row r="2" spans="2:15" x14ac:dyDescent="0.2">
      <c r="C2" s="3" t="s">
        <v>196</v>
      </c>
      <c r="D2" s="3" t="s">
        <v>66</v>
      </c>
      <c r="F2" t="s">
        <v>233</v>
      </c>
      <c r="G2">
        <v>20</v>
      </c>
    </row>
    <row r="3" spans="2:15" x14ac:dyDescent="0.2">
      <c r="B3" t="s">
        <v>50</v>
      </c>
      <c r="C3" t="s">
        <v>338</v>
      </c>
      <c r="D3" t="str" cm="1">
        <f t="array" ref="D3:D7">_xlfn.MAP(C3:C7, _xlfn.LAMBDA(_xlpm.x,
  IF(_xlpm.x="","",
    IF(_xlfn.XLOOKUP(_xlpm.x, 装备表!$B:$B, 装备表!$K:$K, "")="","",
      _xlfn.XLOOKUP(_xlpm.x, 装备表!$B:$B, 装备表!$K:$K, "")
    )
  )
))</f>
        <v>破裂</v>
      </c>
    </row>
    <row r="4" spans="2:15" x14ac:dyDescent="0.2">
      <c r="B4" t="s">
        <v>51</v>
      </c>
      <c r="C4" t="s">
        <v>269</v>
      </c>
      <c r="D4" t="str">
        <v>炽燃</v>
      </c>
      <c r="F4" t="s">
        <v>239</v>
      </c>
      <c r="G4" t="s">
        <v>0</v>
      </c>
    </row>
    <row r="5" spans="2:15" x14ac:dyDescent="0.2">
      <c r="B5" t="s">
        <v>94</v>
      </c>
      <c r="C5" t="s">
        <v>292</v>
      </c>
      <c r="D5" t="str">
        <v>减疗</v>
      </c>
      <c r="F5" t="s">
        <v>240</v>
      </c>
      <c r="G5">
        <v>32</v>
      </c>
    </row>
    <row r="6" spans="2:15" x14ac:dyDescent="0.2">
      <c r="B6" t="s">
        <v>198</v>
      </c>
      <c r="C6" t="s">
        <v>201</v>
      </c>
      <c r="D6" t="str">
        <v>神速</v>
      </c>
      <c r="F6" t="s">
        <v>243</v>
      </c>
      <c r="G6">
        <v>20</v>
      </c>
    </row>
    <row r="7" spans="2:15" x14ac:dyDescent="0.2">
      <c r="B7" t="s">
        <v>197</v>
      </c>
      <c r="C7" t="s">
        <v>227</v>
      </c>
      <c r="D7" t="str">
        <v>乘风,减疗</v>
      </c>
    </row>
    <row r="8" spans="2:15" x14ac:dyDescent="0.2">
      <c r="O8" t="s">
        <v>313</v>
      </c>
    </row>
    <row r="9" spans="2:15" x14ac:dyDescent="0.2">
      <c r="B9" t="s">
        <v>237</v>
      </c>
      <c r="C9">
        <f>INT(G15)</f>
        <v>895</v>
      </c>
      <c r="D9" t="s">
        <v>286</v>
      </c>
      <c r="F9" s="3" t="s">
        <v>245</v>
      </c>
      <c r="J9" t="s">
        <v>314</v>
      </c>
      <c r="O9">
        <f>_xlfn.XLOOKUP(
    G2,
    熟练度级别法强加成表!$A:$A,
    熟练度级别法强加成表!$B:$B,
    0
)</f>
        <v>0.8</v>
      </c>
    </row>
    <row r="10" spans="2:15" x14ac:dyDescent="0.2">
      <c r="B10" t="s">
        <v>53</v>
      </c>
      <c r="C10" cm="1">
        <f t="array" ref="C10">SUM(_xlfn.XLOOKUP(C3:C7, 装备表!$B:$B, 装备表!$F:$F, 0))</f>
        <v>70</v>
      </c>
      <c r="F10" t="s">
        <v>241</v>
      </c>
      <c r="G10" cm="1">
        <f t="array" ref="G10">SUM(_xlfn.XLOOKUP(C3:C7, 装备表!$B:$B, 装备表!$C:$C, 0))</f>
        <v>440</v>
      </c>
      <c r="I10" t="s">
        <v>312</v>
      </c>
      <c r="J10">
        <v>4.1000000000000002E-2</v>
      </c>
    </row>
    <row r="11" spans="2:15" x14ac:dyDescent="0.2">
      <c r="B11" t="s">
        <v>58</v>
      </c>
      <c r="C11" cm="1">
        <f t="array" ref="C11">SUM(_xlfn.XLOOKUP(C3:C7, 装备表!$B:$B, 装备表!$H:$H, 0))</f>
        <v>0</v>
      </c>
      <c r="F11" t="s">
        <v>242</v>
      </c>
      <c r="G11">
        <f>G5+G6</f>
        <v>52</v>
      </c>
    </row>
    <row r="12" spans="2:15" x14ac:dyDescent="0.2">
      <c r="B12" t="s">
        <v>56</v>
      </c>
      <c r="C12" cm="1">
        <f t="array" ref="C12">SUM(_xlfn.XLOOKUP(C3:C7, 装备表!$B:$B, 装备表!$I:$I, 0))</f>
        <v>0</v>
      </c>
      <c r="F12" t="s">
        <v>57</v>
      </c>
      <c r="G12" cm="1">
        <f t="array" ref="G12">_xlfn.LET(
    _xlpm.equip, C3:C7,
    _xlpm.names, 装备表!$B:$B,
    _xlpm.apPct, 装备表!$D:$D,
    _xlpm.uniqueFlag, 装备表!$E:$E,
    _xlpm.normalPct,
    SUM(
        _xlfn.XLOOKUP(
            _xlfn._xlws.FILTER(_xlpm.equip, _xlfn.XLOOKUP(_xlpm.equip, _xlpm.names, _xlpm.uniqueFlag, "")&lt;&gt;"独有"),
            _xlpm.names,
            _xlpm.apPct,
            0
        )
    ),
    _xlpm.uniquePct,
    IFERROR(
        MAX(
            _xlfn.XLOOKUP(
                _xlfn._xlws.FILTER(_xlpm.equip, _xlfn.XLOOKUP(_xlpm.equip, _xlpm.names, _xlpm.uniqueFlag)="独有"),
                _xlpm.names,
                _xlpm.apPct,
                0
            )
        ),
        0
    ),
    _xlpm.normalPct + _xlpm.uniquePct
)</f>
        <v>0</v>
      </c>
      <c r="H12" t="s">
        <v>236</v>
      </c>
      <c r="I12" t="s">
        <v>315</v>
      </c>
    </row>
    <row r="13" spans="2:15" x14ac:dyDescent="0.2">
      <c r="F13" t="s">
        <v>234</v>
      </c>
      <c r="G13">
        <f>G2*J10</f>
        <v>0.82000000000000006</v>
      </c>
    </row>
    <row r="14" spans="2:15" x14ac:dyDescent="0.2">
      <c r="F14" t="s">
        <v>235</v>
      </c>
      <c r="G14">
        <f>G12+G13</f>
        <v>0.82000000000000006</v>
      </c>
    </row>
    <row r="15" spans="2:15" x14ac:dyDescent="0.2">
      <c r="F15" t="s">
        <v>237</v>
      </c>
      <c r="G15">
        <f>(G10+G11)*(G14+1)</f>
        <v>895.44</v>
      </c>
      <c r="H15" t="s">
        <v>244</v>
      </c>
    </row>
  </sheetData>
  <mergeCells count="1">
    <mergeCell ref="B1:H1"/>
  </mergeCells>
  <phoneticPr fontId="1" type="noConversion"/>
  <dataValidations count="5">
    <dataValidation type="list" allowBlank="1" showInputMessage="1" showErrorMessage="1" sqref="C7" xr:uid="{B3513136-2EEF-4B3E-A977-A9BD5F812D53}">
      <formula1>INDIRECT("鞋子装备名")</formula1>
    </dataValidation>
    <dataValidation type="list" allowBlank="1" showInputMessage="1" showErrorMessage="1" sqref="C6" xr:uid="{7AC71FEA-8592-4C17-9CDD-76447A42EFCE}">
      <formula1>INDIRECT("手部装备名")</formula1>
    </dataValidation>
    <dataValidation type="list" allowBlank="1" showInputMessage="1" showErrorMessage="1" sqref="C4" xr:uid="{7EADBD87-55F3-4E60-A5B7-9CC42FFDD654}">
      <formula1>INDIRECT("衣服装备名")</formula1>
    </dataValidation>
    <dataValidation type="list" allowBlank="1" showInputMessage="1" showErrorMessage="1" sqref="C5 C5" xr:uid="{CB96C9B6-AF42-4B31-80E8-7A4DCCD91594}">
      <formula1>INDIRECT("头部装备名")</formula1>
    </dataValidation>
    <dataValidation type="list" allowBlank="1" showInputMessage="1" showErrorMessage="1" sqref="C3" xr:uid="{E8F61E79-0C69-4D4D-A713-359084EF5D8C}">
      <formula1>INDIRECT("武器装备名")</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788EE23D-1777-40C5-AA78-5E3BAB55F797}">
            <xm:f>_xlfn.XLOOKUP(C3,装备表!$B:$B,装备表!$M:$M,"")="红"</xm:f>
            <x14:dxf>
              <font>
                <color rgb="FFC00000"/>
              </font>
            </x14:dxf>
          </x14:cfRule>
          <x14:cfRule type="expression" priority="2" id="{8158D926-41D0-4784-BC2D-3A9A9EE16826}">
            <xm:f>_xlfn.XLOOKUP(C3,装备表!$B:$B,装备表!$M:$M,"")="金"</xm:f>
            <x14:dxf>
              <font>
                <color theme="7" tint="-0.24994659260841701"/>
              </font>
            </x14:dxf>
          </x14:cfRule>
          <x14:cfRule type="expression" priority="3" id="{6024127C-B98A-42C3-8EBC-2BBADB11E794}">
            <xm:f>_xlfn.XLOOKUP(C3,装备表!$B:$B,装备表!$M:$M,"")="紫"</xm:f>
            <x14:dxf>
              <font>
                <color rgb="FF7030A0"/>
              </font>
            </x14:dxf>
          </x14:cfRule>
          <xm:sqref>C3:C7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DF73DF4-DC79-43AF-8511-AD1B53074C91}">
          <x14:formula1>
            <xm:f>熟练度级别法强加成表!$A$1:$A$20</xm:f>
          </x14:formula1>
          <xm:sqref>G2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80CF-B80D-44BD-A61B-69CF42B325EE}">
  <dimension ref="A1:V73"/>
  <sheetViews>
    <sheetView workbookViewId="0">
      <pane ySplit="1" topLeftCell="A47" activePane="bottomLeft" state="frozen"/>
      <selection pane="bottomLeft" activeCell="C77" sqref="C77"/>
    </sheetView>
  </sheetViews>
  <sheetFormatPr defaultRowHeight="14.25" x14ac:dyDescent="0.2"/>
  <cols>
    <col min="2" max="2" width="15.625" customWidth="1"/>
    <col min="3" max="3" width="5.5" customWidth="1"/>
    <col min="4" max="4" width="5.875" customWidth="1"/>
    <col min="5" max="5" width="7.875" customWidth="1"/>
    <col min="6" max="6" width="4.75" customWidth="1"/>
    <col min="7" max="7" width="7" customWidth="1"/>
    <col min="8" max="8" width="5.75" customWidth="1"/>
    <col min="9" max="9" width="6.375" customWidth="1"/>
    <col min="10" max="10" width="12.125" customWidth="1"/>
    <col min="13" max="13" width="5.25" customWidth="1"/>
    <col min="16" max="16" width="11.125" customWidth="1"/>
    <col min="20" max="20" width="12.75" customWidth="1"/>
  </cols>
  <sheetData>
    <row r="1" spans="1:21" x14ac:dyDescent="0.2">
      <c r="A1" s="3" t="s">
        <v>54</v>
      </c>
      <c r="B1" s="3" t="s">
        <v>52</v>
      </c>
      <c r="C1" s="3" t="s">
        <v>0</v>
      </c>
      <c r="D1" s="3" t="s">
        <v>57</v>
      </c>
      <c r="E1" s="3" t="s">
        <v>199</v>
      </c>
      <c r="F1" s="3" t="s">
        <v>53</v>
      </c>
      <c r="G1" s="3" t="s">
        <v>55</v>
      </c>
      <c r="H1" s="3" t="s">
        <v>58</v>
      </c>
      <c r="I1" s="3" t="s">
        <v>56</v>
      </c>
      <c r="J1" s="3" t="s">
        <v>59</v>
      </c>
      <c r="K1" s="3" t="s">
        <v>66</v>
      </c>
      <c r="L1" s="3" t="s">
        <v>62</v>
      </c>
      <c r="M1" s="3" t="s">
        <v>215</v>
      </c>
      <c r="N1" t="s">
        <v>324</v>
      </c>
    </row>
    <row r="2" spans="1:21" x14ac:dyDescent="0.2">
      <c r="A2" t="s">
        <v>50</v>
      </c>
      <c r="B2" t="s">
        <v>60</v>
      </c>
      <c r="C2">
        <v>88</v>
      </c>
      <c r="F2">
        <v>10</v>
      </c>
      <c r="K2" t="s">
        <v>64</v>
      </c>
      <c r="M2" t="s">
        <v>217</v>
      </c>
    </row>
    <row r="3" spans="1:21" x14ac:dyDescent="0.2">
      <c r="A3" t="s">
        <v>50</v>
      </c>
      <c r="B3" t="s">
        <v>61</v>
      </c>
      <c r="C3">
        <v>93</v>
      </c>
      <c r="F3">
        <v>15</v>
      </c>
      <c r="K3" t="s">
        <v>65</v>
      </c>
      <c r="M3" t="s">
        <v>217</v>
      </c>
      <c r="Q3" t="s">
        <v>111</v>
      </c>
    </row>
    <row r="4" spans="1:21" x14ac:dyDescent="0.2">
      <c r="A4" t="s">
        <v>50</v>
      </c>
      <c r="B4" t="s">
        <v>63</v>
      </c>
      <c r="C4">
        <v>70</v>
      </c>
      <c r="F4">
        <v>10</v>
      </c>
      <c r="K4" t="s">
        <v>64</v>
      </c>
      <c r="M4" t="s">
        <v>216</v>
      </c>
      <c r="Q4" t="s">
        <v>112</v>
      </c>
    </row>
    <row r="5" spans="1:21" x14ac:dyDescent="0.2">
      <c r="A5" t="s">
        <v>50</v>
      </c>
      <c r="B5" t="s">
        <v>67</v>
      </c>
      <c r="C5">
        <v>68</v>
      </c>
      <c r="F5">
        <v>15</v>
      </c>
      <c r="M5" t="s">
        <v>216</v>
      </c>
    </row>
    <row r="6" spans="1:21" x14ac:dyDescent="0.2">
      <c r="A6" t="s">
        <v>50</v>
      </c>
      <c r="B6" t="s">
        <v>68</v>
      </c>
      <c r="C6">
        <v>66</v>
      </c>
      <c r="F6">
        <v>10</v>
      </c>
      <c r="K6" t="s">
        <v>69</v>
      </c>
      <c r="M6" t="s">
        <v>216</v>
      </c>
    </row>
    <row r="7" spans="1:21" x14ac:dyDescent="0.2">
      <c r="A7" t="s">
        <v>50</v>
      </c>
      <c r="B7" t="s">
        <v>70</v>
      </c>
      <c r="C7">
        <v>112</v>
      </c>
      <c r="F7">
        <v>15</v>
      </c>
      <c r="I7">
        <v>0.1</v>
      </c>
      <c r="K7" t="s">
        <v>71</v>
      </c>
      <c r="M7" t="s">
        <v>218</v>
      </c>
      <c r="P7" t="s">
        <v>289</v>
      </c>
    </row>
    <row r="8" spans="1:21" x14ac:dyDescent="0.2">
      <c r="A8" t="s">
        <v>50</v>
      </c>
      <c r="B8" t="s">
        <v>72</v>
      </c>
      <c r="C8">
        <v>100</v>
      </c>
      <c r="F8">
        <v>15</v>
      </c>
      <c r="I8">
        <v>7.0000000000000007E-2</v>
      </c>
      <c r="K8" t="s">
        <v>64</v>
      </c>
      <c r="M8" t="s">
        <v>218</v>
      </c>
      <c r="Q8" s="3" t="s">
        <v>196</v>
      </c>
      <c r="R8" s="3" t="s">
        <v>66</v>
      </c>
      <c r="T8" s="3" t="s">
        <v>233</v>
      </c>
      <c r="U8">
        <v>20</v>
      </c>
    </row>
    <row r="9" spans="1:21" x14ac:dyDescent="0.2">
      <c r="A9" t="s">
        <v>50</v>
      </c>
      <c r="B9" t="s">
        <v>73</v>
      </c>
      <c r="C9">
        <v>110</v>
      </c>
      <c r="F9">
        <v>15</v>
      </c>
      <c r="I9">
        <v>0.08</v>
      </c>
      <c r="K9" t="s">
        <v>65</v>
      </c>
      <c r="M9" t="s">
        <v>218</v>
      </c>
      <c r="P9" t="s">
        <v>50</v>
      </c>
      <c r="Q9" t="s">
        <v>267</v>
      </c>
      <c r="R9" t="str" cm="1">
        <f t="array" ref="R9:R13">_xlfn.MAP(Q9:Q13, _xlfn.LAMBDA(_xlpm.x,
  IF(_xlpm.x="","",
    IF(_xlfn.XLOOKUP(_xlpm.x, 装备表!$B:$B, 装备表!$K:$K, "")="","",
      _xlfn.XLOOKUP(_xlpm.x, 装备表!$B:$B, 装备表!$K:$K, "")
    )
  )
))</f>
        <v>吸血6%</v>
      </c>
    </row>
    <row r="10" spans="1:21" x14ac:dyDescent="0.2">
      <c r="P10" t="s">
        <v>51</v>
      </c>
      <c r="Q10" t="s">
        <v>269</v>
      </c>
      <c r="R10" t="str">
        <v>炽燃</v>
      </c>
      <c r="T10" t="s">
        <v>239</v>
      </c>
      <c r="U10" t="s">
        <v>0</v>
      </c>
    </row>
    <row r="11" spans="1:21" x14ac:dyDescent="0.2">
      <c r="P11" t="s">
        <v>94</v>
      </c>
      <c r="Q11" t="s">
        <v>238</v>
      </c>
      <c r="R11" t="str">
        <v/>
      </c>
      <c r="T11" t="s">
        <v>240</v>
      </c>
      <c r="U11">
        <v>32</v>
      </c>
    </row>
    <row r="12" spans="1:21" x14ac:dyDescent="0.2">
      <c r="A12" t="s">
        <v>51</v>
      </c>
      <c r="B12" t="s">
        <v>74</v>
      </c>
      <c r="C12">
        <v>125</v>
      </c>
      <c r="F12">
        <v>10</v>
      </c>
      <c r="K12" t="s">
        <v>75</v>
      </c>
      <c r="L12" s="7">
        <v>0.15</v>
      </c>
      <c r="M12" t="s">
        <v>217</v>
      </c>
      <c r="P12" t="s">
        <v>198</v>
      </c>
      <c r="Q12" t="s">
        <v>201</v>
      </c>
      <c r="R12" t="str">
        <v>神速</v>
      </c>
      <c r="T12" t="s">
        <v>243</v>
      </c>
      <c r="U12">
        <v>20</v>
      </c>
    </row>
    <row r="13" spans="1:21" x14ac:dyDescent="0.2">
      <c r="A13" t="s">
        <v>51</v>
      </c>
      <c r="B13" t="s">
        <v>76</v>
      </c>
      <c r="C13">
        <v>130</v>
      </c>
      <c r="D13">
        <v>0.25</v>
      </c>
      <c r="E13" t="s">
        <v>200</v>
      </c>
      <c r="F13">
        <v>0</v>
      </c>
      <c r="M13" t="s">
        <v>217</v>
      </c>
      <c r="P13" t="s">
        <v>197</v>
      </c>
      <c r="Q13" t="s">
        <v>227</v>
      </c>
      <c r="R13" t="str">
        <v>乘风,减疗</v>
      </c>
    </row>
    <row r="14" spans="1:21" x14ac:dyDescent="0.2">
      <c r="A14" t="s">
        <v>51</v>
      </c>
      <c r="B14" t="s">
        <v>77</v>
      </c>
      <c r="C14">
        <v>120</v>
      </c>
      <c r="F14">
        <v>20</v>
      </c>
      <c r="K14" t="s">
        <v>78</v>
      </c>
      <c r="M14" t="s">
        <v>217</v>
      </c>
    </row>
    <row r="15" spans="1:21" x14ac:dyDescent="0.2">
      <c r="A15" t="s">
        <v>51</v>
      </c>
      <c r="B15" t="s">
        <v>79</v>
      </c>
      <c r="C15">
        <v>122</v>
      </c>
      <c r="F15">
        <v>0</v>
      </c>
      <c r="K15" t="s">
        <v>80</v>
      </c>
      <c r="M15" t="s">
        <v>217</v>
      </c>
      <c r="P15" t="s">
        <v>237</v>
      </c>
      <c r="Q15">
        <f>INT(U21)</f>
        <v>1053</v>
      </c>
      <c r="R15" t="s">
        <v>244</v>
      </c>
      <c r="T15" s="3" t="s">
        <v>245</v>
      </c>
    </row>
    <row r="16" spans="1:21" x14ac:dyDescent="0.2">
      <c r="A16" t="s">
        <v>51</v>
      </c>
      <c r="B16" t="s">
        <v>81</v>
      </c>
      <c r="C16">
        <v>135</v>
      </c>
      <c r="F16">
        <v>10</v>
      </c>
      <c r="K16" t="s">
        <v>69</v>
      </c>
      <c r="M16" t="s">
        <v>217</v>
      </c>
      <c r="P16" t="s">
        <v>53</v>
      </c>
      <c r="Q16" cm="1">
        <f t="array" ref="Q16">SUM(_xlfn.XLOOKUP(Q9:Q13, 装备表!$B:$B, 装备表!$F:$F, 0))</f>
        <v>65</v>
      </c>
      <c r="T16" t="s">
        <v>241</v>
      </c>
      <c r="U16" cm="1">
        <f t="array" ref="U16">SUM(_xlfn.XLOOKUP(Q9:Q13, 装备表!$B:$B, 装备表!$C:$C, 0))</f>
        <v>462</v>
      </c>
    </row>
    <row r="17" spans="1:22" x14ac:dyDescent="0.2">
      <c r="A17" t="s">
        <v>51</v>
      </c>
      <c r="B17" t="s">
        <v>82</v>
      </c>
      <c r="C17">
        <v>138</v>
      </c>
      <c r="F17">
        <v>15</v>
      </c>
      <c r="K17" t="s">
        <v>83</v>
      </c>
      <c r="M17" t="s">
        <v>217</v>
      </c>
      <c r="P17" t="s">
        <v>58</v>
      </c>
      <c r="Q17" cm="1">
        <f t="array" ref="Q17">SUM(_xlfn.XLOOKUP(Q9:Q13, 装备表!$B:$B, 装备表!$H:$H, 0))</f>
        <v>0</v>
      </c>
      <c r="T17" t="s">
        <v>242</v>
      </c>
      <c r="U17">
        <f>U11+U12</f>
        <v>52</v>
      </c>
    </row>
    <row r="18" spans="1:22" x14ac:dyDescent="0.2">
      <c r="A18" t="s">
        <v>51</v>
      </c>
      <c r="B18" t="s">
        <v>84</v>
      </c>
      <c r="C18">
        <v>135</v>
      </c>
      <c r="K18" t="s">
        <v>69</v>
      </c>
      <c r="M18" t="s">
        <v>218</v>
      </c>
      <c r="P18" t="s">
        <v>56</v>
      </c>
      <c r="Q18" cm="1">
        <f t="array" ref="Q18">SUM(_xlfn.XLOOKUP(Q9:Q13, 装备表!$B:$B, 装备表!$I:$I, 0))</f>
        <v>0.1</v>
      </c>
      <c r="T18" t="s">
        <v>57</v>
      </c>
      <c r="U18" cm="1">
        <f t="array" ref="U18">_xlfn.LET(
    _xlpm.equip, Q9:Q13,
    _xlpm.names, 装备表!$B:$B,
    _xlpm.apPct, 装备表!$D:$D,
    _xlpm.uniqueFlag, 装备表!$E:$E,
    _xlpm.normalPct,
    SUM(
        _xlfn.XLOOKUP(
            _xlfn._xlws.FILTER(_xlpm.equip, _xlfn.XLOOKUP(_xlpm.equip, _xlpm.names, _xlpm.uniqueFlag, "")&lt;&gt;"独有"),
            _xlpm.names,
            _xlpm.apPct,
            0
        )
    ),
    _xlpm.uniquePct,
    IFERROR(
        MAX(
            _xlfn.XLOOKUP(
                _xlfn._xlws.FILTER(_xlpm.equip, _xlfn.XLOOKUP(_xlpm.equip, _xlpm.names, _xlpm.uniqueFlag)="独有"),
                _xlpm.names,
                _xlpm.apPct,
                0
            )
        ),
        0
    ),
    _xlpm.normalPct + _xlpm.uniquePct
)</f>
        <v>0.25</v>
      </c>
      <c r="V18" t="s">
        <v>290</v>
      </c>
    </row>
    <row r="19" spans="1:22" x14ac:dyDescent="0.2">
      <c r="A19" t="s">
        <v>51</v>
      </c>
      <c r="B19" t="s">
        <v>85</v>
      </c>
      <c r="C19">
        <v>135</v>
      </c>
      <c r="F19">
        <v>25</v>
      </c>
      <c r="K19" t="s">
        <v>86</v>
      </c>
      <c r="M19" t="s">
        <v>218</v>
      </c>
      <c r="T19" t="s">
        <v>234</v>
      </c>
      <c r="U19">
        <f>_xlfn.XLOOKUP(
    U8,
    熟练度级别法强加成表!$A:$A,
    熟练度级别法强加成表!$B:$B,
    0
)</f>
        <v>0.8</v>
      </c>
    </row>
    <row r="20" spans="1:22" x14ac:dyDescent="0.2">
      <c r="A20" t="s">
        <v>51</v>
      </c>
      <c r="B20" t="s">
        <v>87</v>
      </c>
      <c r="C20">
        <v>126</v>
      </c>
      <c r="M20" t="s">
        <v>216</v>
      </c>
      <c r="T20" t="s">
        <v>235</v>
      </c>
      <c r="U20">
        <f>U18+U19</f>
        <v>1.05</v>
      </c>
    </row>
    <row r="21" spans="1:22" x14ac:dyDescent="0.2">
      <c r="A21" t="s">
        <v>51</v>
      </c>
      <c r="B21" t="s">
        <v>88</v>
      </c>
      <c r="C21">
        <v>112</v>
      </c>
      <c r="F21">
        <v>10</v>
      </c>
      <c r="M21" t="s">
        <v>216</v>
      </c>
      <c r="T21" t="s">
        <v>237</v>
      </c>
      <c r="U21">
        <f>(U16+U17)*(U20+1)</f>
        <v>1053.6999999999998</v>
      </c>
      <c r="V21" t="s">
        <v>244</v>
      </c>
    </row>
    <row r="22" spans="1:22" x14ac:dyDescent="0.2">
      <c r="A22" t="s">
        <v>51</v>
      </c>
      <c r="B22" t="s">
        <v>89</v>
      </c>
      <c r="C22">
        <v>100</v>
      </c>
      <c r="F22">
        <v>20</v>
      </c>
      <c r="M22" t="s">
        <v>216</v>
      </c>
    </row>
    <row r="23" spans="1:22" x14ac:dyDescent="0.2">
      <c r="A23" t="s">
        <v>51</v>
      </c>
      <c r="B23" t="s">
        <v>90</v>
      </c>
      <c r="C23">
        <v>100</v>
      </c>
      <c r="F23">
        <v>10</v>
      </c>
      <c r="M23" t="s">
        <v>216</v>
      </c>
    </row>
    <row r="24" spans="1:22" x14ac:dyDescent="0.2">
      <c r="A24" t="s">
        <v>51</v>
      </c>
      <c r="B24" t="s">
        <v>91</v>
      </c>
      <c r="C24">
        <v>124</v>
      </c>
      <c r="K24" t="s">
        <v>69</v>
      </c>
      <c r="M24" t="s">
        <v>216</v>
      </c>
    </row>
    <row r="25" spans="1:22" x14ac:dyDescent="0.2">
      <c r="A25" t="s">
        <v>51</v>
      </c>
      <c r="B25" t="s">
        <v>92</v>
      </c>
      <c r="C25">
        <v>100</v>
      </c>
      <c r="K25" t="s">
        <v>93</v>
      </c>
      <c r="M25" t="s">
        <v>216</v>
      </c>
    </row>
    <row r="27" spans="1:22" x14ac:dyDescent="0.2">
      <c r="A27" t="s">
        <v>94</v>
      </c>
      <c r="B27" t="s">
        <v>95</v>
      </c>
      <c r="C27">
        <v>80</v>
      </c>
      <c r="D27">
        <v>0.25</v>
      </c>
      <c r="E27" t="s">
        <v>200</v>
      </c>
      <c r="M27" t="s">
        <v>217</v>
      </c>
    </row>
    <row r="28" spans="1:22" x14ac:dyDescent="0.2">
      <c r="A28" t="s">
        <v>94</v>
      </c>
      <c r="B28" t="s">
        <v>96</v>
      </c>
      <c r="C28">
        <v>80</v>
      </c>
      <c r="F28">
        <v>20</v>
      </c>
      <c r="K28" t="s">
        <v>69</v>
      </c>
      <c r="M28" t="s">
        <v>217</v>
      </c>
    </row>
    <row r="29" spans="1:22" x14ac:dyDescent="0.2">
      <c r="A29" t="s">
        <v>94</v>
      </c>
      <c r="B29" t="s">
        <v>97</v>
      </c>
      <c r="C29">
        <v>60</v>
      </c>
      <c r="F29">
        <v>10</v>
      </c>
      <c r="K29" t="s">
        <v>80</v>
      </c>
      <c r="M29" t="s">
        <v>216</v>
      </c>
    </row>
    <row r="30" spans="1:22" x14ac:dyDescent="0.2">
      <c r="A30" t="s">
        <v>94</v>
      </c>
      <c r="B30" t="s">
        <v>98</v>
      </c>
      <c r="C30">
        <v>75</v>
      </c>
      <c r="F30">
        <v>10</v>
      </c>
      <c r="K30" t="s">
        <v>75</v>
      </c>
      <c r="L30" s="7">
        <v>0.15</v>
      </c>
      <c r="M30" t="s">
        <v>217</v>
      </c>
    </row>
    <row r="31" spans="1:22" x14ac:dyDescent="0.2">
      <c r="A31" t="s">
        <v>94</v>
      </c>
      <c r="B31" t="s">
        <v>99</v>
      </c>
      <c r="C31">
        <v>80</v>
      </c>
      <c r="F31">
        <v>15</v>
      </c>
      <c r="J31">
        <v>0.12</v>
      </c>
      <c r="K31" t="s">
        <v>100</v>
      </c>
      <c r="M31" t="s">
        <v>217</v>
      </c>
    </row>
    <row r="32" spans="1:22" x14ac:dyDescent="0.2">
      <c r="A32" t="s">
        <v>94</v>
      </c>
      <c r="B32" t="s">
        <v>101</v>
      </c>
      <c r="C32">
        <v>75</v>
      </c>
      <c r="F32">
        <v>20</v>
      </c>
      <c r="M32" t="s">
        <v>217</v>
      </c>
    </row>
    <row r="33" spans="1:13" x14ac:dyDescent="0.2">
      <c r="A33" t="s">
        <v>94</v>
      </c>
      <c r="B33" t="s">
        <v>102</v>
      </c>
      <c r="C33">
        <v>55</v>
      </c>
      <c r="F33">
        <v>15</v>
      </c>
      <c r="I33">
        <v>0.2</v>
      </c>
      <c r="K33" t="s">
        <v>103</v>
      </c>
      <c r="M33" t="s">
        <v>217</v>
      </c>
    </row>
    <row r="34" spans="1:13" x14ac:dyDescent="0.2">
      <c r="A34" t="s">
        <v>94</v>
      </c>
      <c r="B34" t="s">
        <v>104</v>
      </c>
      <c r="C34">
        <v>90</v>
      </c>
      <c r="F34">
        <v>20</v>
      </c>
      <c r="H34">
        <v>10</v>
      </c>
      <c r="K34" t="s">
        <v>69</v>
      </c>
      <c r="M34" t="s">
        <v>218</v>
      </c>
    </row>
    <row r="35" spans="1:13" x14ac:dyDescent="0.2">
      <c r="A35" t="s">
        <v>94</v>
      </c>
      <c r="B35" t="s">
        <v>105</v>
      </c>
      <c r="C35">
        <v>80</v>
      </c>
      <c r="F35">
        <v>10</v>
      </c>
      <c r="K35" t="s">
        <v>106</v>
      </c>
      <c r="M35" t="s">
        <v>217</v>
      </c>
    </row>
    <row r="36" spans="1:13" x14ac:dyDescent="0.2">
      <c r="A36" t="s">
        <v>94</v>
      </c>
      <c r="B36" t="s">
        <v>107</v>
      </c>
      <c r="C36">
        <v>63</v>
      </c>
      <c r="F36">
        <v>10</v>
      </c>
      <c r="K36" t="s">
        <v>69</v>
      </c>
      <c r="M36" t="s">
        <v>216</v>
      </c>
    </row>
    <row r="37" spans="1:13" x14ac:dyDescent="0.2">
      <c r="A37" t="s">
        <v>94</v>
      </c>
      <c r="B37" t="s">
        <v>108</v>
      </c>
      <c r="C37">
        <v>50</v>
      </c>
      <c r="F37">
        <v>10</v>
      </c>
      <c r="K37" t="s">
        <v>80</v>
      </c>
      <c r="M37" t="s">
        <v>216</v>
      </c>
    </row>
    <row r="38" spans="1:13" x14ac:dyDescent="0.2">
      <c r="A38" t="s">
        <v>94</v>
      </c>
      <c r="B38" t="s">
        <v>109</v>
      </c>
      <c r="C38">
        <v>78</v>
      </c>
      <c r="M38" t="s">
        <v>216</v>
      </c>
    </row>
    <row r="39" spans="1:13" x14ac:dyDescent="0.2">
      <c r="A39" t="s">
        <v>94</v>
      </c>
      <c r="B39" t="s">
        <v>110</v>
      </c>
      <c r="C39">
        <v>63</v>
      </c>
      <c r="F39">
        <v>15</v>
      </c>
      <c r="M39" t="s">
        <v>216</v>
      </c>
    </row>
    <row r="41" spans="1:13" x14ac:dyDescent="0.2">
      <c r="A41" t="s">
        <v>198</v>
      </c>
      <c r="B41" s="19" t="s">
        <v>132</v>
      </c>
      <c r="C41">
        <v>85</v>
      </c>
      <c r="F41">
        <v>20</v>
      </c>
      <c r="K41" t="s">
        <v>206</v>
      </c>
      <c r="M41" t="s">
        <v>217</v>
      </c>
    </row>
    <row r="42" spans="1:13" x14ac:dyDescent="0.2">
      <c r="A42" t="s">
        <v>198</v>
      </c>
      <c r="B42" s="20" t="s">
        <v>44</v>
      </c>
      <c r="C42">
        <v>85</v>
      </c>
      <c r="I42">
        <v>0.15</v>
      </c>
      <c r="M42" t="s">
        <v>217</v>
      </c>
    </row>
    <row r="43" spans="1:13" x14ac:dyDescent="0.2">
      <c r="A43" t="s">
        <v>198</v>
      </c>
      <c r="B43" s="20" t="s">
        <v>202</v>
      </c>
      <c r="C43">
        <v>82</v>
      </c>
      <c r="K43" t="s">
        <v>205</v>
      </c>
      <c r="M43" t="s">
        <v>217</v>
      </c>
    </row>
    <row r="44" spans="1:13" x14ac:dyDescent="0.2">
      <c r="A44" t="s">
        <v>198</v>
      </c>
      <c r="B44" s="20" t="s">
        <v>203</v>
      </c>
      <c r="C44">
        <v>102</v>
      </c>
      <c r="F44">
        <v>20</v>
      </c>
      <c r="K44" t="s">
        <v>205</v>
      </c>
      <c r="M44" t="s">
        <v>217</v>
      </c>
    </row>
    <row r="45" spans="1:13" x14ac:dyDescent="0.2">
      <c r="A45" t="s">
        <v>198</v>
      </c>
      <c r="B45" s="20" t="s">
        <v>163</v>
      </c>
      <c r="C45">
        <v>90</v>
      </c>
      <c r="D45">
        <v>0.15</v>
      </c>
      <c r="E45" t="s">
        <v>200</v>
      </c>
      <c r="M45" t="s">
        <v>217</v>
      </c>
    </row>
    <row r="46" spans="1:13" x14ac:dyDescent="0.2">
      <c r="A46" t="s">
        <v>198</v>
      </c>
      <c r="B46" s="20" t="s">
        <v>204</v>
      </c>
      <c r="C46">
        <v>82</v>
      </c>
      <c r="F46">
        <v>10</v>
      </c>
      <c r="K46" t="s">
        <v>65</v>
      </c>
      <c r="M46" t="s">
        <v>217</v>
      </c>
    </row>
    <row r="47" spans="1:13" x14ac:dyDescent="0.2">
      <c r="A47" t="s">
        <v>198</v>
      </c>
      <c r="B47" s="20" t="s">
        <v>207</v>
      </c>
      <c r="C47">
        <v>84</v>
      </c>
      <c r="F47">
        <v>25</v>
      </c>
      <c r="M47" t="s">
        <v>217</v>
      </c>
    </row>
    <row r="48" spans="1:13" x14ac:dyDescent="0.2">
      <c r="A48" t="s">
        <v>198</v>
      </c>
      <c r="B48" s="20" t="s">
        <v>208</v>
      </c>
      <c r="C48">
        <v>75</v>
      </c>
      <c r="F48">
        <v>20</v>
      </c>
      <c r="K48" t="s">
        <v>69</v>
      </c>
      <c r="M48" t="s">
        <v>217</v>
      </c>
    </row>
    <row r="49" spans="1:13" x14ac:dyDescent="0.2">
      <c r="A49" t="s">
        <v>198</v>
      </c>
      <c r="B49" s="20" t="s">
        <v>209</v>
      </c>
      <c r="C49">
        <v>82</v>
      </c>
      <c r="F49">
        <v>10</v>
      </c>
      <c r="K49" t="s">
        <v>64</v>
      </c>
      <c r="M49" t="s">
        <v>217</v>
      </c>
    </row>
    <row r="50" spans="1:13" x14ac:dyDescent="0.2">
      <c r="A50" t="s">
        <v>198</v>
      </c>
      <c r="B50" s="20" t="s">
        <v>210</v>
      </c>
      <c r="C50">
        <v>72</v>
      </c>
      <c r="F50">
        <v>10</v>
      </c>
      <c r="K50" t="s">
        <v>211</v>
      </c>
      <c r="M50" t="s">
        <v>217</v>
      </c>
    </row>
    <row r="51" spans="1:13" x14ac:dyDescent="0.2">
      <c r="A51" t="s">
        <v>198</v>
      </c>
      <c r="B51" t="s">
        <v>212</v>
      </c>
      <c r="C51">
        <v>90</v>
      </c>
      <c r="F51">
        <v>20</v>
      </c>
      <c r="G51">
        <v>15</v>
      </c>
      <c r="K51" t="s">
        <v>69</v>
      </c>
      <c r="M51" t="s">
        <v>218</v>
      </c>
    </row>
    <row r="52" spans="1:13" x14ac:dyDescent="0.2">
      <c r="A52" t="s">
        <v>198</v>
      </c>
      <c r="B52" t="s">
        <v>213</v>
      </c>
      <c r="C52">
        <v>100</v>
      </c>
      <c r="I52">
        <v>0.15</v>
      </c>
      <c r="K52" t="s">
        <v>69</v>
      </c>
      <c r="M52" t="s">
        <v>218</v>
      </c>
    </row>
    <row r="53" spans="1:13" x14ac:dyDescent="0.2">
      <c r="A53" t="s">
        <v>198</v>
      </c>
      <c r="B53" t="s">
        <v>214</v>
      </c>
      <c r="C53">
        <v>62</v>
      </c>
      <c r="F53">
        <v>10</v>
      </c>
      <c r="K53" t="s">
        <v>69</v>
      </c>
      <c r="M53" t="s">
        <v>216</v>
      </c>
    </row>
    <row r="54" spans="1:13" x14ac:dyDescent="0.2">
      <c r="A54" t="s">
        <v>198</v>
      </c>
      <c r="B54" t="s">
        <v>230</v>
      </c>
      <c r="C54">
        <v>75</v>
      </c>
      <c r="M54" t="s">
        <v>216</v>
      </c>
    </row>
    <row r="55" spans="1:13" x14ac:dyDescent="0.2">
      <c r="A55" t="s">
        <v>198</v>
      </c>
      <c r="B55" t="s">
        <v>231</v>
      </c>
      <c r="C55">
        <v>50</v>
      </c>
      <c r="F55">
        <v>20</v>
      </c>
      <c r="M55" t="s">
        <v>216</v>
      </c>
    </row>
    <row r="56" spans="1:13" x14ac:dyDescent="0.2">
      <c r="A56" t="s">
        <v>198</v>
      </c>
      <c r="B56" t="s">
        <v>232</v>
      </c>
      <c r="C56">
        <v>52</v>
      </c>
      <c r="F56">
        <v>10</v>
      </c>
      <c r="K56" t="s">
        <v>64</v>
      </c>
      <c r="M56" t="s">
        <v>216</v>
      </c>
    </row>
    <row r="57" spans="1:13" x14ac:dyDescent="0.2">
      <c r="A57" t="s">
        <v>198</v>
      </c>
      <c r="B57" t="s">
        <v>322</v>
      </c>
      <c r="C57">
        <v>55</v>
      </c>
      <c r="F57">
        <v>10</v>
      </c>
      <c r="G57">
        <v>10</v>
      </c>
      <c r="K57" t="s">
        <v>323</v>
      </c>
      <c r="M57" t="s">
        <v>217</v>
      </c>
    </row>
    <row r="60" spans="1:13" x14ac:dyDescent="0.2">
      <c r="A60" t="s">
        <v>197</v>
      </c>
      <c r="B60" t="s">
        <v>219</v>
      </c>
      <c r="C60">
        <v>25</v>
      </c>
      <c r="F60">
        <v>5</v>
      </c>
      <c r="M60" t="s">
        <v>216</v>
      </c>
    </row>
    <row r="61" spans="1:13" x14ac:dyDescent="0.2">
      <c r="A61" t="s">
        <v>197</v>
      </c>
      <c r="B61" t="s">
        <v>220</v>
      </c>
      <c r="C61">
        <v>28</v>
      </c>
      <c r="M61" t="s">
        <v>216</v>
      </c>
    </row>
    <row r="62" spans="1:13" x14ac:dyDescent="0.2">
      <c r="A62" t="s">
        <v>197</v>
      </c>
      <c r="B62" t="s">
        <v>221</v>
      </c>
      <c r="C62">
        <v>18</v>
      </c>
      <c r="F62">
        <v>10</v>
      </c>
      <c r="M62" t="s">
        <v>216</v>
      </c>
    </row>
    <row r="63" spans="1:13" x14ac:dyDescent="0.2">
      <c r="A63" t="s">
        <v>197</v>
      </c>
      <c r="B63" t="s">
        <v>222</v>
      </c>
      <c r="C63">
        <v>60</v>
      </c>
      <c r="D63">
        <v>0.05</v>
      </c>
      <c r="M63" t="s">
        <v>217</v>
      </c>
    </row>
    <row r="64" spans="1:13" x14ac:dyDescent="0.2">
      <c r="A64" t="s">
        <v>197</v>
      </c>
      <c r="B64" t="s">
        <v>223</v>
      </c>
      <c r="C64">
        <v>33</v>
      </c>
      <c r="F64">
        <v>15</v>
      </c>
      <c r="M64" t="s">
        <v>217</v>
      </c>
    </row>
    <row r="65" spans="1:13" x14ac:dyDescent="0.2">
      <c r="A65" t="s">
        <v>197</v>
      </c>
      <c r="B65" t="s">
        <v>224</v>
      </c>
      <c r="C65">
        <v>42</v>
      </c>
      <c r="F65">
        <v>10</v>
      </c>
      <c r="M65" t="s">
        <v>217</v>
      </c>
    </row>
    <row r="66" spans="1:13" x14ac:dyDescent="0.2">
      <c r="A66" t="s">
        <v>197</v>
      </c>
      <c r="B66" t="s">
        <v>225</v>
      </c>
      <c r="C66">
        <v>50</v>
      </c>
      <c r="F66">
        <v>10</v>
      </c>
      <c r="K66" t="s">
        <v>226</v>
      </c>
      <c r="M66" t="s">
        <v>218</v>
      </c>
    </row>
    <row r="67" spans="1:13" x14ac:dyDescent="0.2">
      <c r="A67" t="s">
        <v>197</v>
      </c>
      <c r="B67" t="s">
        <v>228</v>
      </c>
      <c r="C67">
        <v>60</v>
      </c>
      <c r="F67">
        <v>20</v>
      </c>
      <c r="K67" t="s">
        <v>229</v>
      </c>
      <c r="M67" t="s">
        <v>218</v>
      </c>
    </row>
    <row r="70" spans="1:13" x14ac:dyDescent="0.2">
      <c r="A70" t="s">
        <v>50</v>
      </c>
      <c r="B70" t="s">
        <v>317</v>
      </c>
      <c r="C70">
        <v>90</v>
      </c>
      <c r="K70" t="s">
        <v>319</v>
      </c>
      <c r="M70" t="s">
        <v>217</v>
      </c>
    </row>
    <row r="71" spans="1:13" x14ac:dyDescent="0.2">
      <c r="A71" t="s">
        <v>50</v>
      </c>
      <c r="B71" t="s">
        <v>318</v>
      </c>
      <c r="C71">
        <v>84</v>
      </c>
      <c r="F71">
        <v>15</v>
      </c>
      <c r="K71" t="s">
        <v>69</v>
      </c>
      <c r="M71" t="s">
        <v>217</v>
      </c>
    </row>
    <row r="72" spans="1:13" x14ac:dyDescent="0.2">
      <c r="A72" t="s">
        <v>50</v>
      </c>
      <c r="B72" t="s">
        <v>320</v>
      </c>
      <c r="C72">
        <v>116</v>
      </c>
      <c r="F72">
        <v>15</v>
      </c>
      <c r="I72">
        <v>0.1</v>
      </c>
      <c r="M72" t="s">
        <v>218</v>
      </c>
    </row>
    <row r="73" spans="1:13" x14ac:dyDescent="0.2">
      <c r="A73" t="s">
        <v>50</v>
      </c>
      <c r="B73" t="s">
        <v>321</v>
      </c>
      <c r="C73">
        <v>116</v>
      </c>
      <c r="I73">
        <v>0.08</v>
      </c>
      <c r="M73" t="s">
        <v>218</v>
      </c>
    </row>
  </sheetData>
  <phoneticPr fontId="1" type="noConversion"/>
  <conditionalFormatting sqref="B2:B57 B60:B9999">
    <cfRule type="expression" dxfId="5" priority="8">
      <formula>$M2="红"</formula>
    </cfRule>
    <cfRule type="expression" dxfId="4" priority="9">
      <formula>$M2="金"</formula>
    </cfRule>
    <cfRule type="expression" dxfId="3" priority="10">
      <formula>$M2="紫"</formula>
    </cfRule>
  </conditionalFormatting>
  <conditionalFormatting sqref="Q9:Q13">
    <cfRule type="expression" dxfId="2" priority="1">
      <formula>_xlfn.XLOOKUP(Q9,$B:$B,$M:$M,"")="红"</formula>
    </cfRule>
    <cfRule type="expression" dxfId="1" priority="2">
      <formula>_xlfn.XLOOKUP(Q9,$B:$B,$M:$M,"")="金"</formula>
    </cfRule>
    <cfRule type="expression" dxfId="0" priority="3">
      <formula>_xlfn.XLOOKUP(Q9,$B:$B,$M:$M,"")="紫"</formula>
    </cfRule>
  </conditionalFormatting>
  <dataValidations count="5">
    <dataValidation type="list" allowBlank="1" showInputMessage="1" showErrorMessage="1" sqref="Q9" xr:uid="{F1FF6BF2-B2DE-402E-B976-53E440A6D32B}">
      <formula1>INDIRECT("武器装备名")</formula1>
    </dataValidation>
    <dataValidation type="list" allowBlank="1" showInputMessage="1" showErrorMessage="1" sqref="Q11" xr:uid="{4B75B1A2-F4C9-4910-839C-B38926498E69}">
      <formula1>INDIRECT("头部装备名")</formula1>
    </dataValidation>
    <dataValidation type="list" allowBlank="1" showInputMessage="1" showErrorMessage="1" sqref="Q10:Q11" xr:uid="{9AF0B03C-509C-4A12-A052-0D96A8222FBD}">
      <formula1>INDIRECT("衣服装备名")</formula1>
    </dataValidation>
    <dataValidation type="list" allowBlank="1" showInputMessage="1" showErrorMessage="1" sqref="Q12" xr:uid="{0D38CD1D-D5F4-4B40-9889-D76E426D4752}">
      <formula1>INDIRECT("手部装备名")</formula1>
    </dataValidation>
    <dataValidation type="list" allowBlank="1" showInputMessage="1" showErrorMessage="1" sqref="Q13" xr:uid="{62D5EA1D-60B4-45D9-ADBF-E0162E190C1D}">
      <formula1>INDIRECT("鞋子装备名")</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2C50444-8CE6-4A88-8799-E225463A90BB}">
          <x14:formula1>
            <xm:f>熟练度级别法强加成表!$A$1:$A$20</xm:f>
          </x14:formula1>
          <xm:sqref>U8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91E14-1631-47DF-A54A-59A69B52DFD4}">
  <dimension ref="A1:G19"/>
  <sheetViews>
    <sheetView workbookViewId="0">
      <selection activeCell="A2" sqref="A2"/>
    </sheetView>
  </sheetViews>
  <sheetFormatPr defaultRowHeight="14.25" x14ac:dyDescent="0.2"/>
  <sheetData>
    <row r="1" spans="1:7" x14ac:dyDescent="0.2">
      <c r="A1" t="s">
        <v>50</v>
      </c>
      <c r="B1" t="s">
        <v>51</v>
      </c>
      <c r="C1" t="s">
        <v>94</v>
      </c>
      <c r="D1" t="s">
        <v>198</v>
      </c>
      <c r="E1" t="s">
        <v>197</v>
      </c>
      <c r="G1" t="str" cm="1">
        <f t="array" ref="G1">_xlfn.IFS(
  装备表!M2="紫","紫 "&amp;装备表!B2,
  装备表!M2="金","金 "&amp;装备表!B2,
  装备表!M2="红","红 "&amp;装备表!B2,
  TRUE, 装备表!B2
)</f>
        <v>金 月水晶</v>
      </c>
    </row>
    <row r="2" spans="1:7" x14ac:dyDescent="0.2">
      <c r="A2" t="str" cm="1">
        <f t="array" ref="A2:A14">_xlfn.LET(
  _xlpm.result,
    _xlfn._xlws.FILTER(
      装备表!$B:$B,
      (装备表!$A:$A="武器")*(装备表!$B:$B&lt;&gt;""),
      ""
    ),
  IF(COUNTA(_xlpm.result)&gt;0, _xlfn.VSTACK(_xlpm.result,""), _xlpm.result)
)</f>
        <v>月水晶</v>
      </c>
      <c r="B2" t="str" cm="1">
        <f t="array" ref="B2:B16">_xlfn.LET(
  _xlpm.result,
    _xlfn._xlws.FILTER(
      装备表!$B:$B,
      (装备表!$A:$A="衣服")*(装备表!$B:$B&lt;&gt;""),
      ""
    ),
  IF(COUNTA(_xlpm.result)&gt;0, _xlfn.VSTACK(_xlpm.result,""), _xlpm.result)
)</f>
        <v>私人订制</v>
      </c>
      <c r="C2" t="str" cm="1">
        <f t="array" ref="C2:C15">_xlfn.LET(
  _xlpm.result,
    _xlfn._xlws.FILTER(
      装备表!$B:$B,
      (装备表!$A:$A="头部")*(装备表!$B:$B&lt;&gt;""),
      ""
    ),
  IF(COUNTA(_xlpm.result)&gt;0, _xlfn.VSTACK(_xlpm.result,""), _xlpm.result)
)</f>
        <v>幽灵面具</v>
      </c>
      <c r="D2" s="21" t="str" cm="1">
        <f t="array" ref="D2:D19">_xlfn.LET(
  _xlpm.result,
    _xlfn._xlws.FILTER(
      装备表!$B:$B,
      (装备表!$A:$A="手部")*(装备表!$B:$B&lt;&gt;""),
      ""
    ),
  IF(COUNTA(_xlpm.result)&gt;0, _xlfn.VSTACK(_xlpm.result,""), _xlpm.result)
)</f>
        <v>翡翠石板</v>
      </c>
      <c r="E2" t="str" cm="1">
        <f t="array" ref="E2:E10">_xlfn.LET(
  _xlpm.result,
    _xlfn._xlws.FILTER(
      装备表!$B:$B,
      (装备表!$A:$A="鞋子")*(装备表!$B:$B&lt;&gt;""),
      ""
    ),
  IF(COUNTA(_xlpm.result)&gt;0, _xlfn.VSTACK(_xlpm.result,""), _xlpm.result)
)</f>
        <v>风火轮</v>
      </c>
    </row>
    <row r="3" spans="1:7" x14ac:dyDescent="0.2">
      <c r="A3" t="str">
        <v>女帝</v>
      </c>
      <c r="B3" t="str">
        <v>神职法衣</v>
      </c>
      <c r="C3" t="str">
        <v>先知头巾</v>
      </c>
      <c r="D3" t="str">
        <v>龙鳞</v>
      </c>
      <c r="E3" t="str">
        <v>SCV</v>
      </c>
    </row>
    <row r="4" spans="1:7" x14ac:dyDescent="0.2">
      <c r="A4" t="str">
        <v>隐遁者</v>
      </c>
      <c r="B4" t="str">
        <v>优雅礼服</v>
      </c>
      <c r="C4" t="str">
        <v>太空头盔</v>
      </c>
      <c r="D4" t="str">
        <v>极光陀螺</v>
      </c>
      <c r="E4" t="str">
        <v>赤影</v>
      </c>
    </row>
    <row r="5" spans="1:7" x14ac:dyDescent="0.2">
      <c r="A5" t="str">
        <v>五芒星</v>
      </c>
      <c r="B5" t="str">
        <v>血色斗篷</v>
      </c>
      <c r="C5" t="str">
        <v>EnGrade</v>
      </c>
      <c r="D5" t="str">
        <v>极光陀螺(满层)</v>
      </c>
      <c r="E5" t="str">
        <v>恨天高</v>
      </c>
    </row>
    <row r="6" spans="1:7" x14ac:dyDescent="0.2">
      <c r="A6" t="str">
        <v>命运之轮</v>
      </c>
      <c r="B6" t="str">
        <v>日轮之铠</v>
      </c>
      <c r="C6" t="str">
        <v>暗影面纱</v>
      </c>
      <c r="D6" t="str">
        <v>守护之眼</v>
      </c>
      <c r="E6" t="str">
        <v>万年冰鞋</v>
      </c>
    </row>
    <row r="7" spans="1:7" x14ac:dyDescent="0.2">
      <c r="A7" t="str">
        <v>炼狱</v>
      </c>
      <c r="B7" t="str">
        <v>异端审判官</v>
      </c>
      <c r="C7" t="str">
        <v>昆德拉</v>
      </c>
      <c r="D7" t="str">
        <v>斯嘉蒂的手镯</v>
      </c>
      <c r="E7" t="str">
        <v>锋利长靴</v>
      </c>
    </row>
    <row r="8" spans="1:7" x14ac:dyDescent="0.2">
      <c r="A8" t="str">
        <v>炼狱绯红</v>
      </c>
      <c r="B8" t="str">
        <v>比基尼</v>
      </c>
      <c r="C8" t="str">
        <v>龙首簪</v>
      </c>
      <c r="D8" t="str">
        <v>廷达罗斯君主</v>
      </c>
      <c r="E8" t="str">
        <v>蔷薇轻履</v>
      </c>
    </row>
    <row r="9" spans="1:7" x14ac:dyDescent="0.2">
      <c r="A9" t="str">
        <v>炼狱晓色</v>
      </c>
      <c r="B9" t="str">
        <v>红心女王</v>
      </c>
      <c r="C9" t="str">
        <v>脸谱</v>
      </c>
      <c r="D9" t="str">
        <v>鬼灵之爪</v>
      </c>
      <c r="E9" t="str">
        <v>精灵之靴</v>
      </c>
    </row>
    <row r="10" spans="1:7" x14ac:dyDescent="0.2">
      <c r="A10" t="str">
        <v>阿戈斯之眼</v>
      </c>
      <c r="B10" t="str">
        <v>指挥官战甲</v>
      </c>
      <c r="C10" t="str">
        <v>赛车头盔</v>
      </c>
      <c r="D10" t="str">
        <v>芭蕉扇</v>
      </c>
      <c r="E10" t="str">
        <v/>
      </c>
    </row>
    <row r="11" spans="1:7" x14ac:dyDescent="0.2">
      <c r="A11" t="str">
        <v>米斯特汀</v>
      </c>
      <c r="B11" t="str">
        <v>御史衣</v>
      </c>
      <c r="C11" t="str">
        <v>魔女帽</v>
      </c>
      <c r="D11" t="str">
        <v>荷鲁斯之眼</v>
      </c>
    </row>
    <row r="12" spans="1:7" x14ac:dyDescent="0.2">
      <c r="A12" t="str">
        <v>诺斯费拉图</v>
      </c>
      <c r="B12" t="str">
        <v>大祭司长袍</v>
      </c>
      <c r="C12" t="str">
        <v>战队头盔</v>
      </c>
      <c r="D12" t="str">
        <v>超星臂章</v>
      </c>
    </row>
    <row r="13" spans="1:7" x14ac:dyDescent="0.2">
      <c r="A13" t="str">
        <v>诺斯费拉图-晓色</v>
      </c>
      <c r="B13" t="str">
        <v>白大褂</v>
      </c>
      <c r="C13" t="str">
        <v>帝国战盔</v>
      </c>
      <c r="D13" t="str">
        <v>死灵之书</v>
      </c>
    </row>
    <row r="14" spans="1:7" x14ac:dyDescent="0.2">
      <c r="A14" t="str">
        <v/>
      </c>
      <c r="B14" t="str">
        <v>主教长袍</v>
      </c>
      <c r="C14" t="str">
        <v>帝国皇冠</v>
      </c>
      <c r="D14" t="str">
        <v>巨人手套</v>
      </c>
    </row>
    <row r="15" spans="1:7" x14ac:dyDescent="0.2">
      <c r="B15" t="str">
        <v>幽冥战甲</v>
      </c>
      <c r="C15" t="str">
        <v/>
      </c>
      <c r="D15" t="str">
        <v>德罗普尼尔</v>
      </c>
    </row>
    <row r="16" spans="1:7" x14ac:dyDescent="0.2">
      <c r="B16" t="str">
        <v/>
      </c>
      <c r="D16" t="str">
        <v>廷达罗斯手环</v>
      </c>
    </row>
    <row r="17" spans="4:4" x14ac:dyDescent="0.2">
      <c r="D17" t="str">
        <v>白羽扇</v>
      </c>
    </row>
    <row r="18" spans="4:4" x14ac:dyDescent="0.2">
      <c r="D18" t="str">
        <v>邀明月</v>
      </c>
    </row>
    <row r="19" spans="4:4" x14ac:dyDescent="0.2">
      <c r="D19" t="str">
        <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6388-3AC3-4947-BFCB-B27124E41727}">
  <dimension ref="A1:L24"/>
  <sheetViews>
    <sheetView workbookViewId="0">
      <selection activeCell="E24" sqref="E24"/>
    </sheetView>
  </sheetViews>
  <sheetFormatPr defaultRowHeight="14.25" x14ac:dyDescent="0.2"/>
  <cols>
    <col min="1" max="1" width="11" style="9" customWidth="1"/>
    <col min="2" max="10" width="9" style="9"/>
    <col min="11" max="11" width="12.625" style="9" customWidth="1"/>
    <col min="12" max="16384" width="9" style="9"/>
  </cols>
  <sheetData>
    <row r="1" spans="1:12" x14ac:dyDescent="0.2">
      <c r="B1" s="10">
        <v>0.06</v>
      </c>
      <c r="C1" s="11">
        <v>3.5000000000000003E-2</v>
      </c>
      <c r="D1" s="9">
        <v>0.06</v>
      </c>
    </row>
    <row r="2" spans="1:12" x14ac:dyDescent="0.2">
      <c r="B2" s="9" t="s">
        <v>127</v>
      </c>
      <c r="C2" s="9" t="s">
        <v>95</v>
      </c>
      <c r="D2" s="9" t="s">
        <v>102</v>
      </c>
      <c r="F2" s="9" t="s">
        <v>128</v>
      </c>
      <c r="G2" s="9">
        <v>4.09</v>
      </c>
      <c r="I2" s="9" t="s">
        <v>135</v>
      </c>
    </row>
    <row r="3" spans="1:12" x14ac:dyDescent="0.2">
      <c r="A3" s="10">
        <v>0.06</v>
      </c>
      <c r="B3" s="9" t="s">
        <v>138</v>
      </c>
      <c r="C3" s="9" t="s">
        <v>136</v>
      </c>
      <c r="D3" s="9">
        <v>4.09</v>
      </c>
      <c r="I3" s="9" t="s">
        <v>128</v>
      </c>
      <c r="J3" s="9">
        <v>4.09</v>
      </c>
      <c r="K3" s="9" t="s">
        <v>152</v>
      </c>
    </row>
    <row r="4" spans="1:12" x14ac:dyDescent="0.2">
      <c r="A4" s="9" t="s">
        <v>131</v>
      </c>
      <c r="B4" s="9" t="s">
        <v>138</v>
      </c>
      <c r="C4" s="9" t="s">
        <v>137</v>
      </c>
      <c r="D4" s="9">
        <v>5.93</v>
      </c>
      <c r="I4" s="9" t="s">
        <v>129</v>
      </c>
      <c r="J4" s="9">
        <v>4.07</v>
      </c>
    </row>
    <row r="5" spans="1:12" x14ac:dyDescent="0.2">
      <c r="A5" s="9" t="s">
        <v>134</v>
      </c>
      <c r="B5" s="9">
        <v>4.09</v>
      </c>
      <c r="C5" s="9" t="s">
        <v>136</v>
      </c>
      <c r="D5" s="9" t="s">
        <v>140</v>
      </c>
      <c r="I5" s="9" t="s">
        <v>130</v>
      </c>
    </row>
    <row r="6" spans="1:12" x14ac:dyDescent="0.2">
      <c r="A6" s="9" t="s">
        <v>126</v>
      </c>
      <c r="B6" s="9">
        <v>6.15</v>
      </c>
      <c r="C6" s="9" t="s">
        <v>139</v>
      </c>
      <c r="D6" s="9" t="s">
        <v>141</v>
      </c>
    </row>
    <row r="7" spans="1:12" x14ac:dyDescent="0.2">
      <c r="I7" s="9" t="s">
        <v>132</v>
      </c>
      <c r="J7" s="10">
        <v>0.3</v>
      </c>
      <c r="K7" s="9" t="s">
        <v>133</v>
      </c>
    </row>
    <row r="9" spans="1:12" x14ac:dyDescent="0.2">
      <c r="G9" s="8" t="s">
        <v>268</v>
      </c>
    </row>
    <row r="10" spans="1:12" x14ac:dyDescent="0.2">
      <c r="A10" s="79" t="s">
        <v>154</v>
      </c>
      <c r="B10" s="79"/>
      <c r="C10" s="79"/>
      <c r="D10" s="79"/>
      <c r="G10" s="80" t="s">
        <v>177</v>
      </c>
      <c r="H10" s="80"/>
      <c r="I10" s="80"/>
      <c r="J10" s="80"/>
    </row>
    <row r="11" spans="1:12" x14ac:dyDescent="0.2">
      <c r="A11" s="80" t="s">
        <v>153</v>
      </c>
      <c r="B11" s="80"/>
      <c r="C11" s="80"/>
      <c r="D11" s="80"/>
      <c r="H11" s="9" t="s">
        <v>162</v>
      </c>
      <c r="I11" s="9" t="s">
        <v>176</v>
      </c>
      <c r="L11" s="8" t="s">
        <v>155</v>
      </c>
    </row>
    <row r="12" spans="1:12" x14ac:dyDescent="0.2">
      <c r="A12" s="9">
        <v>4.07</v>
      </c>
      <c r="B12" s="9" t="s">
        <v>127</v>
      </c>
      <c r="C12" s="9" t="s">
        <v>95</v>
      </c>
      <c r="D12" s="9" t="s">
        <v>102</v>
      </c>
      <c r="G12" s="18" t="s">
        <v>44</v>
      </c>
      <c r="H12" s="9" t="s">
        <v>127</v>
      </c>
      <c r="I12" s="9" t="s">
        <v>95</v>
      </c>
      <c r="J12" s="9" t="s">
        <v>101</v>
      </c>
    </row>
    <row r="13" spans="1:12" x14ac:dyDescent="0.2">
      <c r="A13" s="9" t="s">
        <v>131</v>
      </c>
      <c r="B13" s="9" t="s">
        <v>138</v>
      </c>
      <c r="C13" s="9" t="s">
        <v>148</v>
      </c>
      <c r="D13" s="9" t="s">
        <v>150</v>
      </c>
      <c r="F13" s="9" t="s">
        <v>176</v>
      </c>
      <c r="G13" s="9" t="s">
        <v>76</v>
      </c>
      <c r="H13" s="9" t="s">
        <v>156</v>
      </c>
      <c r="I13" s="9" t="s">
        <v>169</v>
      </c>
      <c r="J13" s="9" t="s">
        <v>164</v>
      </c>
    </row>
    <row r="14" spans="1:12" x14ac:dyDescent="0.2">
      <c r="A14" s="9" t="s">
        <v>126</v>
      </c>
      <c r="B14" s="9" t="s">
        <v>142</v>
      </c>
      <c r="C14" s="9" t="s">
        <v>143</v>
      </c>
      <c r="D14" s="9" t="s">
        <v>149</v>
      </c>
      <c r="G14" s="9" t="s">
        <v>77</v>
      </c>
      <c r="H14" s="9" t="s">
        <v>157</v>
      </c>
      <c r="I14" s="9" t="s">
        <v>165</v>
      </c>
      <c r="J14" s="9" t="s">
        <v>170</v>
      </c>
    </row>
    <row r="15" spans="1:12" x14ac:dyDescent="0.2">
      <c r="A15" s="80" t="s">
        <v>152</v>
      </c>
      <c r="B15" s="80"/>
      <c r="C15" s="80"/>
      <c r="D15" s="80"/>
      <c r="G15" s="9" t="s">
        <v>158</v>
      </c>
      <c r="H15" s="9" t="s">
        <v>160</v>
      </c>
      <c r="I15" s="9" t="s">
        <v>159</v>
      </c>
      <c r="J15" s="9" t="s">
        <v>171</v>
      </c>
      <c r="L15" s="8" t="s">
        <v>168</v>
      </c>
    </row>
    <row r="16" spans="1:12" x14ac:dyDescent="0.2">
      <c r="A16" s="9" t="s">
        <v>151</v>
      </c>
      <c r="B16" s="9" t="s">
        <v>127</v>
      </c>
      <c r="C16" s="9" t="s">
        <v>95</v>
      </c>
      <c r="D16" s="9" t="s">
        <v>102</v>
      </c>
      <c r="F16" s="9" t="s">
        <v>162</v>
      </c>
      <c r="G16" s="9" t="s">
        <v>74</v>
      </c>
      <c r="H16" s="9" t="s">
        <v>170</v>
      </c>
      <c r="I16" s="9" t="s">
        <v>172</v>
      </c>
      <c r="J16" s="9" t="s">
        <v>173</v>
      </c>
      <c r="L16" s="8" t="s">
        <v>166</v>
      </c>
    </row>
    <row r="17" spans="1:12" x14ac:dyDescent="0.2">
      <c r="A17" s="9" t="s">
        <v>131</v>
      </c>
      <c r="B17" s="9" t="s">
        <v>138</v>
      </c>
      <c r="C17" s="9" t="s">
        <v>143</v>
      </c>
      <c r="D17" s="9" t="s">
        <v>147</v>
      </c>
      <c r="G17" s="79" t="s">
        <v>178</v>
      </c>
      <c r="H17" s="79"/>
      <c r="I17" s="79"/>
      <c r="J17" s="79"/>
      <c r="L17" s="8" t="s">
        <v>167</v>
      </c>
    </row>
    <row r="18" spans="1:12" x14ac:dyDescent="0.2">
      <c r="A18" s="9" t="s">
        <v>126</v>
      </c>
      <c r="B18" s="9" t="s">
        <v>144</v>
      </c>
      <c r="C18" s="9" t="s">
        <v>145</v>
      </c>
      <c r="D18" s="9" t="s">
        <v>146</v>
      </c>
      <c r="G18" s="18" t="s">
        <v>163</v>
      </c>
      <c r="H18" s="9" t="s">
        <v>127</v>
      </c>
      <c r="I18" s="9" t="s">
        <v>95</v>
      </c>
      <c r="J18" s="9" t="s">
        <v>101</v>
      </c>
    </row>
    <row r="19" spans="1:12" x14ac:dyDescent="0.2">
      <c r="G19" s="9" t="s">
        <v>76</v>
      </c>
    </row>
    <row r="20" spans="1:12" x14ac:dyDescent="0.2">
      <c r="G20" s="9" t="s">
        <v>77</v>
      </c>
      <c r="L20" s="8" t="s">
        <v>175</v>
      </c>
    </row>
    <row r="21" spans="1:12" x14ac:dyDescent="0.2">
      <c r="G21" s="9" t="s">
        <v>158</v>
      </c>
      <c r="H21" s="9" t="s">
        <v>161</v>
      </c>
    </row>
    <row r="22" spans="1:12" x14ac:dyDescent="0.2">
      <c r="G22" s="9" t="s">
        <v>74</v>
      </c>
      <c r="J22" s="9" t="s">
        <v>174</v>
      </c>
    </row>
    <row r="24" spans="1:12" x14ac:dyDescent="0.2">
      <c r="G24" s="8"/>
    </row>
  </sheetData>
  <mergeCells count="5">
    <mergeCell ref="G17:J17"/>
    <mergeCell ref="A10:D10"/>
    <mergeCell ref="A11:D11"/>
    <mergeCell ref="A15:D15"/>
    <mergeCell ref="G10:J1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C652-759C-4F08-A9F5-C0B83C879ECD}">
  <dimension ref="A1:N22"/>
  <sheetViews>
    <sheetView workbookViewId="0">
      <selection activeCell="M8" sqref="M8"/>
    </sheetView>
  </sheetViews>
  <sheetFormatPr defaultRowHeight="14.25" x14ac:dyDescent="0.2"/>
  <sheetData>
    <row r="1" spans="1:14" x14ac:dyDescent="0.2">
      <c r="A1">
        <v>1</v>
      </c>
      <c r="B1">
        <v>0.04</v>
      </c>
      <c r="D1" t="s">
        <v>298</v>
      </c>
      <c r="H1">
        <v>10</v>
      </c>
      <c r="I1">
        <v>2.5</v>
      </c>
      <c r="K1" s="81" t="s">
        <v>4</v>
      </c>
      <c r="L1" s="81"/>
      <c r="M1" s="81"/>
    </row>
    <row r="2" spans="1:14" x14ac:dyDescent="0.2">
      <c r="A2">
        <v>2</v>
      </c>
      <c r="B2">
        <v>0.08</v>
      </c>
      <c r="D2" t="s">
        <v>299</v>
      </c>
      <c r="H2">
        <v>20</v>
      </c>
      <c r="I2">
        <v>5</v>
      </c>
      <c r="K2" t="s">
        <v>5</v>
      </c>
      <c r="L2" t="s">
        <v>6</v>
      </c>
      <c r="M2" t="s">
        <v>7</v>
      </c>
      <c r="N2" t="s">
        <v>270</v>
      </c>
    </row>
    <row r="3" spans="1:14" x14ac:dyDescent="0.2">
      <c r="A3">
        <v>3</v>
      </c>
      <c r="B3">
        <v>0.12</v>
      </c>
      <c r="D3" t="s">
        <v>300</v>
      </c>
      <c r="H3">
        <v>30</v>
      </c>
      <c r="I3">
        <v>7.5</v>
      </c>
      <c r="K3">
        <v>1</v>
      </c>
      <c r="L3">
        <v>60</v>
      </c>
      <c r="M3">
        <f>0.2*伤害计算器!B5+L3</f>
        <v>184</v>
      </c>
    </row>
    <row r="4" spans="1:14" x14ac:dyDescent="0.2">
      <c r="A4">
        <v>4</v>
      </c>
      <c r="B4">
        <v>0.16</v>
      </c>
      <c r="H4">
        <v>40</v>
      </c>
      <c r="I4">
        <v>10</v>
      </c>
      <c r="K4">
        <v>2</v>
      </c>
      <c r="L4">
        <v>70</v>
      </c>
      <c r="M4">
        <f>0.2*伤害计算器!B5+L4</f>
        <v>194</v>
      </c>
    </row>
    <row r="5" spans="1:14" x14ac:dyDescent="0.2">
      <c r="A5">
        <v>5</v>
      </c>
      <c r="B5">
        <v>0.2</v>
      </c>
      <c r="D5" t="s">
        <v>311</v>
      </c>
      <c r="K5">
        <v>3</v>
      </c>
      <c r="L5">
        <v>80</v>
      </c>
      <c r="M5">
        <f>0.2*伤害计算器!B5+L5</f>
        <v>204</v>
      </c>
    </row>
    <row r="6" spans="1:14" x14ac:dyDescent="0.2">
      <c r="A6">
        <v>6</v>
      </c>
      <c r="B6">
        <v>0.24</v>
      </c>
      <c r="K6">
        <v>4</v>
      </c>
      <c r="L6">
        <v>90</v>
      </c>
      <c r="M6">
        <f>0.2*伤害计算器!B5+L6</f>
        <v>214</v>
      </c>
    </row>
    <row r="7" spans="1:14" x14ac:dyDescent="0.2">
      <c r="A7">
        <v>7</v>
      </c>
      <c r="B7">
        <v>0.28000000000000003</v>
      </c>
      <c r="K7">
        <v>5</v>
      </c>
      <c r="L7">
        <v>100</v>
      </c>
      <c r="M7">
        <f>0.2*伤害计算器!B5+L7</f>
        <v>224</v>
      </c>
    </row>
    <row r="8" spans="1:14" x14ac:dyDescent="0.2">
      <c r="A8">
        <v>8</v>
      </c>
      <c r="B8">
        <v>0.32</v>
      </c>
      <c r="K8">
        <v>6</v>
      </c>
      <c r="L8">
        <v>110</v>
      </c>
      <c r="M8">
        <f>0.2*伤害计算器!B5+L8</f>
        <v>234</v>
      </c>
    </row>
    <row r="9" spans="1:14" x14ac:dyDescent="0.2">
      <c r="A9">
        <v>9</v>
      </c>
      <c r="B9">
        <v>0.36</v>
      </c>
      <c r="K9">
        <v>7</v>
      </c>
      <c r="L9">
        <v>120</v>
      </c>
      <c r="M9">
        <f>0.2*伤害计算器!B5+L9</f>
        <v>244</v>
      </c>
    </row>
    <row r="10" spans="1:14" x14ac:dyDescent="0.2">
      <c r="A10">
        <v>10</v>
      </c>
      <c r="B10">
        <v>0.4</v>
      </c>
      <c r="K10">
        <v>8</v>
      </c>
      <c r="L10">
        <v>130</v>
      </c>
      <c r="M10">
        <f>0.2*伤害计算器!B5+L10</f>
        <v>254</v>
      </c>
    </row>
    <row r="11" spans="1:14" x14ac:dyDescent="0.2">
      <c r="A11">
        <v>11</v>
      </c>
      <c r="B11">
        <v>0.44</v>
      </c>
      <c r="K11">
        <v>9</v>
      </c>
      <c r="L11">
        <v>140</v>
      </c>
      <c r="M11">
        <f>0.2*伤害计算器!B5+L11</f>
        <v>264</v>
      </c>
    </row>
    <row r="12" spans="1:14" x14ac:dyDescent="0.2">
      <c r="A12">
        <v>12</v>
      </c>
      <c r="B12">
        <v>0.48</v>
      </c>
      <c r="K12">
        <v>10</v>
      </c>
      <c r="L12">
        <v>150</v>
      </c>
      <c r="M12">
        <f>0.2*伤害计算器!B5+L12</f>
        <v>274</v>
      </c>
    </row>
    <row r="13" spans="1:14" x14ac:dyDescent="0.2">
      <c r="A13">
        <v>13</v>
      </c>
      <c r="B13">
        <v>0.52</v>
      </c>
      <c r="K13">
        <v>11</v>
      </c>
      <c r="L13">
        <v>160</v>
      </c>
      <c r="M13">
        <f>0.2*伤害计算器!B5+L13</f>
        <v>284</v>
      </c>
    </row>
    <row r="14" spans="1:14" x14ac:dyDescent="0.2">
      <c r="A14">
        <v>14</v>
      </c>
      <c r="B14">
        <v>0.56000000000000005</v>
      </c>
      <c r="K14">
        <v>12</v>
      </c>
      <c r="L14">
        <v>170</v>
      </c>
      <c r="M14">
        <f>0.2*伤害计算器!B5+L14</f>
        <v>294</v>
      </c>
    </row>
    <row r="15" spans="1:14" x14ac:dyDescent="0.2">
      <c r="A15">
        <v>15</v>
      </c>
      <c r="B15">
        <v>0.6</v>
      </c>
      <c r="K15">
        <v>13</v>
      </c>
      <c r="L15">
        <v>180</v>
      </c>
      <c r="M15">
        <f>0.2*伤害计算器!B5+L15</f>
        <v>304</v>
      </c>
    </row>
    <row r="16" spans="1:14" x14ac:dyDescent="0.2">
      <c r="A16">
        <v>16</v>
      </c>
      <c r="B16">
        <v>0.64</v>
      </c>
      <c r="K16">
        <v>14</v>
      </c>
      <c r="L16">
        <v>190</v>
      </c>
      <c r="M16">
        <f>0.2*伤害计算器!B5+L16</f>
        <v>314</v>
      </c>
    </row>
    <row r="17" spans="1:13" x14ac:dyDescent="0.2">
      <c r="A17">
        <v>17</v>
      </c>
      <c r="B17">
        <v>0.68</v>
      </c>
      <c r="K17">
        <v>15</v>
      </c>
      <c r="L17">
        <v>200</v>
      </c>
      <c r="M17">
        <f>0.2*伤害计算器!B5+L17</f>
        <v>324</v>
      </c>
    </row>
    <row r="18" spans="1:13" x14ac:dyDescent="0.2">
      <c r="A18">
        <v>18</v>
      </c>
      <c r="B18">
        <v>0.72</v>
      </c>
      <c r="K18">
        <v>16</v>
      </c>
      <c r="L18">
        <v>210</v>
      </c>
      <c r="M18">
        <f>0.2*伤害计算器!B5+L18</f>
        <v>334</v>
      </c>
    </row>
    <row r="19" spans="1:13" x14ac:dyDescent="0.2">
      <c r="A19">
        <v>19</v>
      </c>
      <c r="B19">
        <v>0.76</v>
      </c>
      <c r="K19">
        <v>17</v>
      </c>
      <c r="L19">
        <v>220</v>
      </c>
      <c r="M19">
        <f>0.2*伤害计算器!B5+L19</f>
        <v>344</v>
      </c>
    </row>
    <row r="20" spans="1:13" x14ac:dyDescent="0.2">
      <c r="A20">
        <v>20</v>
      </c>
      <c r="B20">
        <v>0.8</v>
      </c>
      <c r="K20">
        <v>18</v>
      </c>
      <c r="L20">
        <v>230</v>
      </c>
      <c r="M20">
        <f>0.2*伤害计算器!B5+L20</f>
        <v>354</v>
      </c>
    </row>
    <row r="21" spans="1:13" x14ac:dyDescent="0.2">
      <c r="K21">
        <v>19</v>
      </c>
      <c r="L21">
        <v>240</v>
      </c>
      <c r="M21">
        <f>0.2*伤害计算器!B5+L21</f>
        <v>364</v>
      </c>
    </row>
    <row r="22" spans="1:13" x14ac:dyDescent="0.2">
      <c r="K22">
        <v>20</v>
      </c>
      <c r="L22">
        <v>250</v>
      </c>
      <c r="M22">
        <f>0.2*伤害计算器!B5+L22</f>
        <v>374</v>
      </c>
    </row>
  </sheetData>
  <mergeCells count="1">
    <mergeCell ref="K1:M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A423-8E2D-4B02-A0EB-9AC6AE2DDE0C}">
  <dimension ref="A1:A3"/>
  <sheetViews>
    <sheetView workbookViewId="0">
      <selection activeCell="A4" sqref="A4"/>
    </sheetView>
  </sheetViews>
  <sheetFormatPr defaultRowHeight="14.25" x14ac:dyDescent="0.2"/>
  <sheetData>
    <row r="1" spans="1:1" x14ac:dyDescent="0.2">
      <c r="A1" t="s">
        <v>252</v>
      </c>
    </row>
    <row r="2" spans="1:1" x14ac:dyDescent="0.2">
      <c r="A2" t="s">
        <v>253</v>
      </c>
    </row>
    <row r="3" spans="1:1" x14ac:dyDescent="0.2">
      <c r="A3" t="s">
        <v>279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伤害计算器</vt:lpstr>
      <vt:lpstr>装备属性计算器</vt:lpstr>
      <vt:lpstr>装备表</vt:lpstr>
      <vt:lpstr>动态备表</vt:lpstr>
      <vt:lpstr>移速</vt:lpstr>
      <vt:lpstr>熟练度级别法强加成表</vt:lpstr>
      <vt:lpstr>备注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Shiroya</dc:creator>
  <cp:lastModifiedBy>池千</cp:lastModifiedBy>
  <dcterms:created xsi:type="dcterms:W3CDTF">2015-06-05T18:19:34Z</dcterms:created>
  <dcterms:modified xsi:type="dcterms:W3CDTF">2026-05-21T12:56:54Z</dcterms:modified>
</cp:coreProperties>
</file>